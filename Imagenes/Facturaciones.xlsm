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308cb40b228c66/Escritorio/"/>
    </mc:Choice>
  </mc:AlternateContent>
  <xr:revisionPtr revIDLastSave="0" documentId="8_{C4FE1386-E9D1-438B-A089-981EF8AE03F9}" xr6:coauthVersionLast="47" xr6:coauthVersionMax="47" xr10:uidLastSave="{00000000-0000-0000-0000-000000000000}"/>
  <bookViews>
    <workbookView xWindow="-110" yWindow="-110" windowWidth="19420" windowHeight="10420" xr2:uid="{5DD03239-473E-4A0C-BA6A-1BFE1E0FB8CD}"/>
  </bookViews>
  <sheets>
    <sheet name="Facturas" sheetId="2" r:id="rId1"/>
    <sheet name="base de datos (clientes)" sheetId="3" r:id="rId2"/>
    <sheet name="DatosP" sheetId="1" r:id="rId3"/>
  </sheets>
  <definedNames>
    <definedName name="tabla1">DatosP!$A$1:$C$9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" l="1"/>
  <c r="D23" i="2"/>
  <c r="D24" i="2"/>
  <c r="D25" i="2"/>
  <c r="D26" i="2"/>
  <c r="D27" i="2"/>
  <c r="D28" i="2"/>
  <c r="D29" i="2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/>
  <c r="H21" i="2"/>
  <c r="I21" i="2" s="1"/>
  <c r="D21" i="2"/>
  <c r="G32" i="2" l="1"/>
  <c r="I32" i="2" s="1"/>
  <c r="I15" i="2"/>
  <c r="I16" i="2" s="1"/>
</calcChain>
</file>

<file path=xl/sharedStrings.xml><?xml version="1.0" encoding="utf-8"?>
<sst xmlns="http://schemas.openxmlformats.org/spreadsheetml/2006/main" count="49" uniqueCount="47">
  <si>
    <t>pluma fuente de cuartuchos</t>
  </si>
  <si>
    <t>pluma fuente de embolo</t>
  </si>
  <si>
    <t>pluma de succión</t>
  </si>
  <si>
    <t>pluma de pistón</t>
  </si>
  <si>
    <t>precio</t>
  </si>
  <si>
    <t>cuaderno</t>
  </si>
  <si>
    <t>cartucho de tinta</t>
  </si>
  <si>
    <t>frasco de tinta</t>
  </si>
  <si>
    <t>cantidad</t>
  </si>
  <si>
    <t>importe</t>
  </si>
  <si>
    <t>La papeleria Casa Xavir</t>
  </si>
  <si>
    <t>C. Independencia 55</t>
  </si>
  <si>
    <t xml:space="preserve"> Zona Centro 44100</t>
  </si>
  <si>
    <t>Guadalajara, Jal.</t>
  </si>
  <si>
    <t>facturar a:</t>
  </si>
  <si>
    <t>FACTURA</t>
  </si>
  <si>
    <t>Nombre:</t>
  </si>
  <si>
    <t>precion u.</t>
  </si>
  <si>
    <t>Datos importantes</t>
  </si>
  <si>
    <t>fecha del pedido</t>
  </si>
  <si>
    <t>fecha de vencimiento</t>
  </si>
  <si>
    <t>codigo</t>
  </si>
  <si>
    <t>producto</t>
  </si>
  <si>
    <t>subtotal</t>
  </si>
  <si>
    <t>IVA</t>
  </si>
  <si>
    <t>Total</t>
  </si>
  <si>
    <t>Codigo no valido</t>
  </si>
  <si>
    <t>no valido</t>
  </si>
  <si>
    <t>compañía:</t>
  </si>
  <si>
    <t>Dirección:</t>
  </si>
  <si>
    <t>numero:</t>
  </si>
  <si>
    <t>correo:</t>
  </si>
  <si>
    <t>no. De factura:</t>
  </si>
  <si>
    <t>no. De pedido:</t>
  </si>
  <si>
    <t>nombre</t>
  </si>
  <si>
    <t>empresa</t>
  </si>
  <si>
    <t>dirección</t>
  </si>
  <si>
    <t>numero</t>
  </si>
  <si>
    <t>correo</t>
  </si>
  <si>
    <t>venta</t>
  </si>
  <si>
    <t>no. factura</t>
  </si>
  <si>
    <t>no. de venta</t>
  </si>
  <si>
    <t>fecha</t>
  </si>
  <si>
    <t>Diego</t>
  </si>
  <si>
    <t xml:space="preserve">xploud@gmIL.com </t>
  </si>
  <si>
    <t>XPLOUDE</t>
  </si>
  <si>
    <t>Juan Manuel 487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</si>
</sst>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36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rgb="FF20212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Fill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/>
    <xf numFmtId="0" fontId="3" fillId="0" borderId="0" xfId="0" applyFont="1" applyFill="1" applyBorder="1"/>
    <xf numFmtId="14" fontId="3" fillId="0" borderId="0" xfId="0" applyNumberFormat="1" applyFont="1" applyBorder="1" applyAlignment="1">
      <alignment horizontal="left" vertical="top"/>
    </xf>
    <xf numFmtId="14" fontId="3" fillId="0" borderId="0" xfId="0" applyNumberFormat="1" applyFont="1" applyFill="1" applyBorder="1" applyAlignment="1"/>
    <xf numFmtId="0" fontId="0" fillId="0" borderId="2" xfId="0" applyFill="1" applyBorder="1"/>
    <xf numFmtId="0" fontId="0" fillId="0" borderId="4" xfId="0" applyFill="1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3" fillId="0" borderId="7" xfId="0" applyFont="1" applyBorder="1"/>
    <xf numFmtId="0" fontId="0" fillId="0" borderId="8" xfId="0" applyBorder="1"/>
    <xf numFmtId="0" fontId="3" fillId="0" borderId="8" xfId="0" applyFont="1" applyBorder="1" applyAlignment="1"/>
    <xf numFmtId="0" fontId="0" fillId="0" borderId="10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7" xfId="0" applyFill="1" applyBorder="1"/>
    <xf numFmtId="0" fontId="5" fillId="2" borderId="0" xfId="0" applyFont="1" applyFill="1" applyBorder="1" applyAlignment="1">
      <alignment horizontal="center"/>
    </xf>
    <xf numFmtId="9" fontId="0" fillId="0" borderId="0" xfId="0" applyNumberFormat="1" applyFill="1" applyBorder="1"/>
    <xf numFmtId="0" fontId="0" fillId="4" borderId="11" xfId="0" applyFont="1" applyFill="1" applyBorder="1"/>
    <xf numFmtId="0" fontId="0" fillId="0" borderId="11" xfId="0" applyFont="1" applyBorder="1"/>
    <xf numFmtId="0" fontId="1" fillId="3" borderId="0" xfId="0" applyFont="1" applyFill="1" applyBorder="1" applyAlignment="1">
      <alignment horizontal="center"/>
    </xf>
    <xf numFmtId="0" fontId="0" fillId="0" borderId="0" xfId="0" applyNumberFormat="1" applyFill="1" applyBorder="1"/>
    <xf numFmtId="0" fontId="0" fillId="4" borderId="11" xfId="0" applyNumberFormat="1" applyFont="1" applyFill="1" applyBorder="1" applyAlignment="1">
      <alignment horizontal="center"/>
    </xf>
    <xf numFmtId="0" fontId="0" fillId="0" borderId="11" xfId="0" applyNumberFormat="1" applyFon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12" xfId="0" applyBorder="1"/>
    <xf numFmtId="0" fontId="0" fillId="0" borderId="1" xfId="0" applyNumberFormat="1" applyBorder="1" applyAlignment="1">
      <alignment horizontal="center"/>
    </xf>
    <xf numFmtId="0" fontId="0" fillId="0" borderId="12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2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Alignment="1">
      <alignment horizontal="center"/>
    </xf>
    <xf numFmtId="0" fontId="3" fillId="0" borderId="0" xfId="0" applyFont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/>
    <xf numFmtId="0" fontId="8" fillId="0" borderId="0" xfId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Fill="1" applyBorder="1" applyAlignment="1">
      <alignment horizontal="center"/>
    </xf>
    <xf numFmtId="1" fontId="0" fillId="0" borderId="0" xfId="0" applyNumberFormat="1" applyFill="1" applyBorder="1"/>
    <xf numFmtId="1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6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245282</xdr:colOff>
      <xdr:row>2</xdr:row>
      <xdr:rowOff>215892</xdr:rowOff>
    </xdr:from>
    <xdr:to>
      <xdr:col>9</xdr:col>
      <xdr:colOff>10332</xdr:colOff>
      <xdr:row>8</xdr:row>
      <xdr:rowOff>114205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5942" t="9666" r="23001" b="15000"/>
        <a:stretch/>
      </xdr:blipFill>
      <xdr:spPr>
        <a:xfrm>
          <a:off x="4865454" y="500547"/>
          <a:ext cx="1188326" cy="1285095"/>
        </a:xfrm>
        <a:prstGeom prst="rect">
          <a:avLst/>
        </a:prstGeom>
      </xdr:spPr>
    </xdr:pic>
    <xdr:clientData/>
  </xdr:twoCellAnchor>
  <xdr:twoCellAnchor editAs="oneCell">
    <xdr:from>
      <xdr:col>7</xdr:col>
      <xdr:colOff>23518</xdr:colOff>
      <xdr:row>33</xdr:row>
      <xdr:rowOff>55330</xdr:rowOff>
    </xdr:from>
    <xdr:to>
      <xdr:col>9</xdr:col>
      <xdr:colOff>41158</xdr:colOff>
      <xdr:row>39</xdr:row>
      <xdr:rowOff>80670</xdr:rowOff>
    </xdr:to>
    <xdr:pic>
      <xdr:nvPicPr>
        <xdr:cNvPr id="5" name="Imagen 4" descr="Firma manual para documentos sobre fondo blanco. Dibujado a mano caligrafía  Letras ilustración vectorial 537735 Vector en Vecteezy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7870" y="6252460"/>
          <a:ext cx="1440510" cy="1118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9</xdr:row>
          <xdr:rowOff>50800</xdr:rowOff>
        </xdr:from>
        <xdr:to>
          <xdr:col>12</xdr:col>
          <xdr:colOff>469900</xdr:colOff>
          <xdr:row>11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13</xdr:row>
          <xdr:rowOff>25400</xdr:rowOff>
        </xdr:from>
        <xdr:to>
          <xdr:col>12</xdr:col>
          <xdr:colOff>520700</xdr:colOff>
          <xdr:row>15</xdr:row>
          <xdr:rowOff>82550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Grabar Datos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0E7EBC-A05F-45F5-8970-18AC3F1959A7}" name="Datos" displayName="Datos" ref="A1:C9" totalsRowShown="0" headerRowDxfId="5" dataDxfId="4" tableBorderDxfId="3">
  <tableColumns count="3">
    <tableColumn id="1" xr3:uid="{9E5A85C2-C75F-47E7-A64D-8210BA66926D}" name="codigo" dataDxfId="2"/>
    <tableColumn id="2" xr3:uid="{BAB698D0-8B28-423E-BD2B-84CED1F2690C}" name="producto" dataDxfId="1"/>
    <tableColumn id="3" xr3:uid="{0C2C6250-E402-45BD-96DE-718272B263B9}" name="prec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xploud@gm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42CEB-78E6-4B9A-938C-E1415F962361}">
  <sheetPr>
    <pageSetUpPr autoPageBreaks="0"/>
  </sheetPr>
  <dimension ref="B1:S42"/>
  <sheetViews>
    <sheetView showGridLines="0" showRowColHeaders="0" tabSelected="1" zoomScale="87" zoomScaleNormal="87" workbookViewId="0">
      <selection activeCell="N23" sqref="N23"/>
    </sheetView>
  </sheetViews>
  <sheetFormatPr baseColWidth="10" defaultRowHeight="14.5" x14ac:dyDescent="0.35"/>
  <cols>
    <col min="1" max="1" width="0.90625" style="1" customWidth="1"/>
    <col min="2" max="2" width="6.26953125" style="1" customWidth="1"/>
    <col min="3" max="3" width="10.36328125" style="1" customWidth="1"/>
    <col min="4" max="4" width="27.453125" style="1" customWidth="1"/>
    <col min="5" max="5" width="6.26953125" style="1" customWidth="1"/>
    <col min="6" max="6" width="6.1796875" style="1" customWidth="1"/>
    <col min="7" max="7" width="14" style="1" customWidth="1"/>
    <col min="8" max="8" width="9.26953125" style="1" customWidth="1"/>
    <col min="9" max="9" width="11.08984375" style="1" customWidth="1"/>
    <col min="10" max="10" width="6.26953125" style="1" customWidth="1"/>
    <col min="11" max="15" width="10.90625" style="1"/>
    <col min="16" max="16" width="6.6328125" style="1" customWidth="1"/>
    <col min="17" max="17" width="7.54296875" style="1" customWidth="1"/>
    <col min="18" max="18" width="6.6328125" style="1" customWidth="1"/>
    <col min="19" max="19" width="7.26953125" style="1" customWidth="1"/>
    <col min="20" max="16384" width="10.90625" style="1"/>
  </cols>
  <sheetData>
    <row r="1" spans="2:16" ht="6.5" customHeight="1" thickBot="1" x14ac:dyDescent="0.4"/>
    <row r="2" spans="2:16" ht="16" customHeight="1" thickTop="1" x14ac:dyDescent="0.35">
      <c r="B2" s="11"/>
      <c r="C2" s="12"/>
      <c r="D2" s="12"/>
      <c r="E2" s="12"/>
      <c r="F2" s="12"/>
      <c r="G2" s="12"/>
      <c r="H2" s="12"/>
      <c r="I2" s="12"/>
      <c r="J2" s="13"/>
      <c r="K2" s="2"/>
    </row>
    <row r="3" spans="2:16" ht="21.5" customHeight="1" x14ac:dyDescent="0.35">
      <c r="B3" s="14"/>
      <c r="C3" s="59" t="s">
        <v>15</v>
      </c>
      <c r="D3" s="59"/>
      <c r="E3" s="59"/>
      <c r="F3" s="59"/>
      <c r="G3" s="59"/>
      <c r="H3" s="59"/>
      <c r="I3" s="59"/>
      <c r="J3" s="60"/>
      <c r="K3" s="2"/>
    </row>
    <row r="4" spans="2:16" ht="18" customHeight="1" x14ac:dyDescent="0.35">
      <c r="B4" s="14"/>
      <c r="C4" s="59"/>
      <c r="D4" s="59"/>
      <c r="E4" s="59"/>
      <c r="F4" s="59"/>
      <c r="G4" s="59"/>
      <c r="H4" s="59"/>
      <c r="I4" s="59"/>
      <c r="J4" s="60"/>
      <c r="K4" s="2"/>
    </row>
    <row r="5" spans="2:16" ht="26" customHeight="1" x14ac:dyDescent="0.35">
      <c r="B5" s="14"/>
      <c r="C5" s="59"/>
      <c r="D5" s="59"/>
      <c r="E5" s="59"/>
      <c r="F5" s="59"/>
      <c r="G5" s="59"/>
      <c r="H5" s="59"/>
      <c r="I5" s="59"/>
      <c r="J5" s="60"/>
      <c r="K5" s="2"/>
    </row>
    <row r="6" spans="2:16" ht="15.5" customHeight="1" x14ac:dyDescent="0.35">
      <c r="B6" s="15"/>
      <c r="C6" s="63" t="s">
        <v>10</v>
      </c>
      <c r="D6" s="63"/>
      <c r="E6" s="63"/>
      <c r="F6" s="3"/>
      <c r="G6" s="3"/>
      <c r="H6" s="3"/>
      <c r="I6" s="3"/>
      <c r="J6" s="16"/>
      <c r="K6" s="2"/>
      <c r="M6"/>
    </row>
    <row r="7" spans="2:16" x14ac:dyDescent="0.35">
      <c r="B7" s="15"/>
      <c r="C7" s="64" t="s">
        <v>46</v>
      </c>
      <c r="D7" s="64"/>
      <c r="E7" s="64"/>
      <c r="F7" s="3"/>
      <c r="G7" s="3"/>
      <c r="H7" s="3"/>
      <c r="I7" s="3"/>
      <c r="J7" s="16"/>
      <c r="K7" s="2"/>
    </row>
    <row r="8" spans="2:16" ht="14.5" customHeight="1" x14ac:dyDescent="0.35">
      <c r="B8" s="15"/>
      <c r="C8" s="64" t="s">
        <v>12</v>
      </c>
      <c r="D8" s="64"/>
      <c r="E8" s="64"/>
      <c r="F8" s="3"/>
      <c r="G8" s="3"/>
      <c r="H8" s="3"/>
      <c r="I8" s="3"/>
      <c r="J8" s="16"/>
      <c r="K8" s="2"/>
    </row>
    <row r="9" spans="2:16" ht="14.5" customHeight="1" x14ac:dyDescent="0.35">
      <c r="B9" s="15"/>
      <c r="C9" s="64" t="s">
        <v>13</v>
      </c>
      <c r="D9" s="64"/>
      <c r="E9" s="64"/>
      <c r="F9" s="3"/>
      <c r="G9" s="3"/>
      <c r="H9" s="3"/>
      <c r="I9" s="3"/>
      <c r="J9" s="16"/>
      <c r="K9" s="2"/>
    </row>
    <row r="10" spans="2:16" ht="14.5" customHeight="1" x14ac:dyDescent="0.35">
      <c r="B10" s="15"/>
      <c r="C10" s="4"/>
      <c r="D10" s="4"/>
      <c r="E10" s="4"/>
      <c r="F10" s="3"/>
      <c r="G10" s="3"/>
      <c r="H10" s="3"/>
      <c r="I10" s="3"/>
      <c r="J10" s="16"/>
      <c r="K10" s="2"/>
    </row>
    <row r="11" spans="2:16" x14ac:dyDescent="0.35">
      <c r="B11" s="15"/>
      <c r="C11" s="3"/>
      <c r="D11" s="3"/>
      <c r="E11" s="3"/>
      <c r="F11" s="3"/>
      <c r="G11" s="3"/>
      <c r="H11" s="3"/>
      <c r="I11" s="5"/>
      <c r="J11" s="17"/>
      <c r="K11" s="2"/>
    </row>
    <row r="12" spans="2:16" x14ac:dyDescent="0.35">
      <c r="B12" s="15"/>
      <c r="C12" s="40" t="s">
        <v>14</v>
      </c>
      <c r="D12" s="40"/>
      <c r="E12" s="41"/>
      <c r="F12" s="3"/>
      <c r="G12" s="61" t="s">
        <v>18</v>
      </c>
      <c r="H12" s="62"/>
      <c r="I12" s="62"/>
      <c r="J12" s="16"/>
      <c r="K12" s="2"/>
      <c r="P12" s="7"/>
    </row>
    <row r="13" spans="2:16" x14ac:dyDescent="0.35">
      <c r="B13" s="15"/>
      <c r="C13" s="5" t="s">
        <v>16</v>
      </c>
      <c r="D13" s="36" t="s">
        <v>43</v>
      </c>
      <c r="E13" s="5"/>
      <c r="F13" s="3"/>
      <c r="G13" s="5" t="s">
        <v>32</v>
      </c>
      <c r="H13" s="64">
        <v>1</v>
      </c>
      <c r="I13" s="64"/>
      <c r="J13" s="16"/>
      <c r="K13" s="2"/>
    </row>
    <row r="14" spans="2:16" x14ac:dyDescent="0.35">
      <c r="B14" s="15"/>
      <c r="C14" s="5" t="s">
        <v>28</v>
      </c>
      <c r="D14" s="36" t="s">
        <v>45</v>
      </c>
      <c r="E14" s="5"/>
      <c r="F14" s="3"/>
      <c r="G14" s="5" t="s">
        <v>33</v>
      </c>
      <c r="H14" s="64">
        <v>1</v>
      </c>
      <c r="I14" s="64"/>
      <c r="J14" s="16"/>
      <c r="K14" s="2"/>
    </row>
    <row r="15" spans="2:16" ht="14.5" customHeight="1" x14ac:dyDescent="0.35">
      <c r="B15" s="15"/>
      <c r="C15" s="35" t="s">
        <v>29</v>
      </c>
      <c r="D15" s="56" t="s">
        <v>11</v>
      </c>
      <c r="E15" s="35"/>
      <c r="F15" s="6"/>
      <c r="G15" s="67" t="s">
        <v>19</v>
      </c>
      <c r="H15" s="67"/>
      <c r="I15" s="7">
        <f ca="1">TODAY()</f>
        <v>44893</v>
      </c>
      <c r="J15" s="16"/>
      <c r="K15" s="2"/>
    </row>
    <row r="16" spans="2:16" ht="14.5" customHeight="1" x14ac:dyDescent="0.35">
      <c r="B16" s="15"/>
      <c r="C16" s="5" t="s">
        <v>30</v>
      </c>
      <c r="D16" s="36">
        <v>3317148874</v>
      </c>
      <c r="E16" s="5"/>
      <c r="F16" s="3"/>
      <c r="G16" s="67" t="s">
        <v>20</v>
      </c>
      <c r="H16" s="67"/>
      <c r="I16" s="8">
        <f ca="1">I15+15</f>
        <v>44908</v>
      </c>
      <c r="J16" s="16"/>
      <c r="K16" s="2"/>
    </row>
    <row r="17" spans="2:19" ht="12.5" customHeight="1" x14ac:dyDescent="0.35">
      <c r="B17" s="15"/>
      <c r="C17" s="5" t="s">
        <v>31</v>
      </c>
      <c r="D17" s="49" t="s">
        <v>44</v>
      </c>
      <c r="E17" s="5"/>
      <c r="F17" s="3"/>
      <c r="G17" s="2"/>
      <c r="H17" s="3"/>
      <c r="I17" s="3"/>
      <c r="J17" s="16"/>
      <c r="K17" s="2"/>
    </row>
    <row r="18" spans="2:19" x14ac:dyDescent="0.35">
      <c r="B18" s="15"/>
      <c r="C18" s="6"/>
      <c r="D18" s="6"/>
      <c r="E18" s="6"/>
      <c r="F18" s="6"/>
      <c r="G18" s="6"/>
      <c r="H18" s="6"/>
      <c r="I18" s="6"/>
      <c r="J18" s="16"/>
      <c r="K18" s="2"/>
    </row>
    <row r="19" spans="2:19" x14ac:dyDescent="0.35">
      <c r="B19" s="15"/>
      <c r="C19" s="3"/>
      <c r="D19" s="3"/>
      <c r="E19" s="3"/>
      <c r="F19" s="3"/>
      <c r="G19" s="3"/>
      <c r="H19" s="3"/>
      <c r="I19" s="3"/>
      <c r="J19" s="16"/>
    </row>
    <row r="20" spans="2:19" x14ac:dyDescent="0.35">
      <c r="B20" s="15"/>
      <c r="C20" s="44" t="s">
        <v>21</v>
      </c>
      <c r="D20" s="58" t="s">
        <v>22</v>
      </c>
      <c r="E20" s="58"/>
      <c r="F20" s="58"/>
      <c r="G20" s="44" t="s">
        <v>8</v>
      </c>
      <c r="H20" s="44" t="s">
        <v>17</v>
      </c>
      <c r="I20" s="44" t="s">
        <v>9</v>
      </c>
      <c r="J20" s="16"/>
      <c r="K20" s="2"/>
      <c r="N20" s="2"/>
      <c r="O20" s="2"/>
      <c r="P20" s="65"/>
      <c r="Q20" s="65"/>
      <c r="R20" s="66"/>
      <c r="S20" s="66"/>
    </row>
    <row r="21" spans="2:19" x14ac:dyDescent="0.35">
      <c r="B21" s="14"/>
      <c r="C21" s="30">
        <v>2</v>
      </c>
      <c r="D21" s="57" t="str">
        <f>IFERROR(VLOOKUP(C21,Datos[],2)," ")</f>
        <v>pluma fuente de embolo</v>
      </c>
      <c r="E21" s="57"/>
      <c r="F21" s="57"/>
      <c r="G21" s="50">
        <v>4</v>
      </c>
      <c r="H21" s="31">
        <f>IFERROR(VLOOKUP(C21,Datos[],3)," ")</f>
        <v>350</v>
      </c>
      <c r="I21" s="31">
        <f>IFERROR(H21*G21," ")</f>
        <v>1400</v>
      </c>
      <c r="J21" s="16"/>
    </row>
    <row r="22" spans="2:19" x14ac:dyDescent="0.35">
      <c r="B22" s="14"/>
      <c r="C22" s="30">
        <v>2</v>
      </c>
      <c r="D22" s="57" t="str">
        <f>IFERROR(VLOOKUP(C22,Datos[],2)," ")</f>
        <v>pluma fuente de embolo</v>
      </c>
      <c r="E22" s="57"/>
      <c r="F22" s="57"/>
      <c r="G22" s="45">
        <v>4</v>
      </c>
      <c r="H22" s="31">
        <f>IFERROR(VLOOKUP(C22,Datos[],3)," ")</f>
        <v>350</v>
      </c>
      <c r="I22" s="31">
        <f>IFERROR(H22*G22," ")</f>
        <v>1400</v>
      </c>
      <c r="J22" s="16"/>
      <c r="K22" s="2"/>
    </row>
    <row r="23" spans="2:19" x14ac:dyDescent="0.35">
      <c r="B23" s="14"/>
      <c r="C23" s="30">
        <v>3</v>
      </c>
      <c r="D23" s="57" t="str">
        <f>IFERROR(VLOOKUP(C23,Datos[],2)," ")</f>
        <v>pluma de succión</v>
      </c>
      <c r="E23" s="57"/>
      <c r="F23" s="57"/>
      <c r="G23" s="45">
        <v>3</v>
      </c>
      <c r="H23" s="31">
        <f>IFERROR(VLOOKUP(C23,Datos[],3)," ")</f>
        <v>200</v>
      </c>
      <c r="I23" s="31">
        <f>IFERROR(H23*G23," ")</f>
        <v>600</v>
      </c>
      <c r="J23" s="16"/>
      <c r="K23" s="2"/>
    </row>
    <row r="24" spans="2:19" x14ac:dyDescent="0.35">
      <c r="B24" s="14"/>
      <c r="C24" s="30">
        <v>5</v>
      </c>
      <c r="D24" s="57" t="str">
        <f>IFERROR(VLOOKUP(C24,Datos[],2)," ")</f>
        <v>cuaderno</v>
      </c>
      <c r="E24" s="57"/>
      <c r="F24" s="57"/>
      <c r="G24" s="45">
        <v>6</v>
      </c>
      <c r="H24" s="31">
        <f>IFERROR(VLOOKUP(C24,Datos[],3)," ")</f>
        <v>50</v>
      </c>
      <c r="I24" s="31">
        <f>IFERROR(H24*G24," ")</f>
        <v>300</v>
      </c>
      <c r="J24" s="16"/>
      <c r="K24" s="2"/>
    </row>
    <row r="25" spans="2:19" x14ac:dyDescent="0.35">
      <c r="B25" s="14"/>
      <c r="C25" s="30"/>
      <c r="D25" s="57" t="str">
        <f>IFERROR(VLOOKUP(C25,Datos[],2)," ")</f>
        <v xml:space="preserve"> </v>
      </c>
      <c r="E25" s="57"/>
      <c r="F25" s="57"/>
      <c r="G25" s="45"/>
      <c r="H25" s="31" t="str">
        <f>IFERROR(VLOOKUP(C25,Datos[],3)," ")</f>
        <v xml:space="preserve"> </v>
      </c>
      <c r="I25" s="31" t="str">
        <f t="shared" ref="I25:I30" si="0">IFERROR(H25*G25," ")</f>
        <v xml:space="preserve"> </v>
      </c>
      <c r="J25" s="16"/>
    </row>
    <row r="26" spans="2:19" x14ac:dyDescent="0.35">
      <c r="B26" s="14"/>
      <c r="C26" s="32"/>
      <c r="D26" s="57" t="str">
        <f>IFERROR(VLOOKUP(C26,Datos[],2)," ")</f>
        <v xml:space="preserve"> </v>
      </c>
      <c r="E26" s="57"/>
      <c r="F26" s="57"/>
      <c r="G26" s="51"/>
      <c r="H26" s="31" t="str">
        <f>IFERROR(VLOOKUP(C26,Datos[],3)," ")</f>
        <v xml:space="preserve"> </v>
      </c>
      <c r="I26" s="31" t="str">
        <f t="shared" si="0"/>
        <v xml:space="preserve"> </v>
      </c>
      <c r="J26" s="16"/>
      <c r="K26" s="2"/>
    </row>
    <row r="27" spans="2:19" x14ac:dyDescent="0.35">
      <c r="B27" s="14"/>
      <c r="C27" s="33"/>
      <c r="D27" s="57" t="str">
        <f>IFERROR(VLOOKUP(C27,Datos[],2)," ")</f>
        <v xml:space="preserve"> </v>
      </c>
      <c r="E27" s="57"/>
      <c r="F27" s="57"/>
      <c r="G27" s="50"/>
      <c r="H27" s="31" t="str">
        <f>IFERROR(VLOOKUP(C27,Datos[],3)," ")</f>
        <v xml:space="preserve"> </v>
      </c>
      <c r="I27" s="31" t="str">
        <f t="shared" si="0"/>
        <v xml:space="preserve"> </v>
      </c>
      <c r="J27" s="19"/>
      <c r="K27" s="2"/>
    </row>
    <row r="28" spans="2:19" x14ac:dyDescent="0.35">
      <c r="B28" s="14"/>
      <c r="C28" s="34"/>
      <c r="D28" s="57" t="str">
        <f>IFERROR(VLOOKUP(C28,Datos[],2)," ")</f>
        <v xml:space="preserve"> </v>
      </c>
      <c r="E28" s="57"/>
      <c r="F28" s="57"/>
      <c r="G28" s="52"/>
      <c r="H28" s="31" t="str">
        <f>IFERROR(VLOOKUP(C28,Datos[],3)," ")</f>
        <v xml:space="preserve"> </v>
      </c>
      <c r="I28" s="31" t="str">
        <f t="shared" si="0"/>
        <v xml:space="preserve"> </v>
      </c>
      <c r="J28" s="19"/>
    </row>
    <row r="29" spans="2:19" x14ac:dyDescent="0.35">
      <c r="B29" s="14"/>
      <c r="C29" s="34"/>
      <c r="D29" s="57" t="str">
        <f>IFERROR(VLOOKUP(C29,Datos[],2)," ")</f>
        <v xml:space="preserve"> </v>
      </c>
      <c r="E29" s="57"/>
      <c r="F29" s="57"/>
      <c r="G29" s="52"/>
      <c r="H29" s="31" t="str">
        <f>IFERROR(VLOOKUP(C29,Datos[],3)," ")</f>
        <v xml:space="preserve"> </v>
      </c>
      <c r="I29" s="31" t="str">
        <f t="shared" si="0"/>
        <v xml:space="preserve"> </v>
      </c>
      <c r="J29" s="19"/>
    </row>
    <row r="30" spans="2:19" x14ac:dyDescent="0.35">
      <c r="B30" s="14"/>
      <c r="C30" s="27"/>
      <c r="D30" s="2"/>
      <c r="E30" s="2"/>
      <c r="F30" s="2"/>
      <c r="G30" s="9"/>
      <c r="H30" s="31" t="str">
        <f>IFERROR(VLOOKUP(C30,Datos[],3)," ")</f>
        <v xml:space="preserve"> </v>
      </c>
      <c r="I30" s="31" t="str">
        <f t="shared" si="0"/>
        <v xml:space="preserve"> </v>
      </c>
      <c r="J30" s="19"/>
    </row>
    <row r="31" spans="2:19" x14ac:dyDescent="0.35">
      <c r="B31" s="14"/>
      <c r="C31" s="2"/>
      <c r="D31" s="2"/>
      <c r="E31" s="2"/>
      <c r="F31" s="2"/>
      <c r="G31" s="22" t="s">
        <v>23</v>
      </c>
      <c r="H31" s="22" t="s">
        <v>24</v>
      </c>
      <c r="I31" s="22" t="s">
        <v>25</v>
      </c>
      <c r="J31" s="19"/>
    </row>
    <row r="32" spans="2:19" x14ac:dyDescent="0.35">
      <c r="B32" s="14"/>
      <c r="C32" s="2"/>
      <c r="D32" s="2"/>
      <c r="E32" s="2"/>
      <c r="F32" s="2"/>
      <c r="G32" s="1">
        <f>SUM(I21:I30)</f>
        <v>3700</v>
      </c>
      <c r="H32" s="23">
        <v>0.16</v>
      </c>
      <c r="I32" s="53">
        <f>G32 + G32 / 100 * 16</f>
        <v>4292</v>
      </c>
      <c r="J32" s="19"/>
    </row>
    <row r="33" spans="2:10" x14ac:dyDescent="0.35">
      <c r="B33" s="14"/>
      <c r="C33" s="2"/>
      <c r="D33" s="2"/>
      <c r="E33" s="2"/>
      <c r="F33" s="2"/>
      <c r="H33" s="2"/>
      <c r="I33" s="2"/>
      <c r="J33" s="19"/>
    </row>
    <row r="34" spans="2:10" x14ac:dyDescent="0.35">
      <c r="B34" s="14"/>
      <c r="C34" s="2"/>
      <c r="D34" s="2"/>
      <c r="E34" s="2"/>
      <c r="F34" s="2"/>
      <c r="G34" s="2"/>
      <c r="H34" s="2"/>
      <c r="I34" s="2"/>
      <c r="J34" s="19"/>
    </row>
    <row r="35" spans="2:10" x14ac:dyDescent="0.35">
      <c r="B35" s="14"/>
      <c r="C35" s="2"/>
      <c r="D35" s="2"/>
      <c r="E35" s="2"/>
      <c r="F35" s="2"/>
      <c r="G35" s="2"/>
      <c r="H35" s="2"/>
      <c r="I35" s="2"/>
      <c r="J35" s="19"/>
    </row>
    <row r="36" spans="2:10" x14ac:dyDescent="0.35">
      <c r="B36" s="14"/>
      <c r="C36" s="2"/>
      <c r="D36" s="2"/>
      <c r="E36" s="2"/>
      <c r="F36" s="2"/>
      <c r="G36" s="2"/>
      <c r="H36" s="2"/>
      <c r="I36" s="2"/>
      <c r="J36" s="19"/>
    </row>
    <row r="37" spans="2:10" x14ac:dyDescent="0.35">
      <c r="B37" s="14"/>
      <c r="C37" s="2"/>
      <c r="D37" s="2"/>
      <c r="E37" s="2"/>
      <c r="F37" s="2"/>
      <c r="G37" s="2"/>
      <c r="H37" s="2"/>
      <c r="I37" s="2"/>
      <c r="J37" s="19"/>
    </row>
    <row r="38" spans="2:10" x14ac:dyDescent="0.35">
      <c r="B38" s="21"/>
      <c r="C38" s="2"/>
      <c r="D38" s="2"/>
      <c r="E38" s="2"/>
      <c r="F38" s="2"/>
      <c r="G38" s="2"/>
      <c r="H38" s="2"/>
      <c r="I38" s="2"/>
      <c r="J38" s="19"/>
    </row>
    <row r="39" spans="2:10" x14ac:dyDescent="0.35">
      <c r="B39" s="21"/>
      <c r="C39" s="2"/>
      <c r="D39" s="2"/>
      <c r="E39" s="2"/>
      <c r="F39" s="2"/>
      <c r="G39" s="2"/>
      <c r="H39" s="2"/>
      <c r="I39" s="2"/>
      <c r="J39" s="19"/>
    </row>
    <row r="40" spans="2:10" x14ac:dyDescent="0.35">
      <c r="B40" s="21"/>
      <c r="C40" s="2"/>
      <c r="D40" s="2"/>
      <c r="E40" s="2"/>
      <c r="F40" s="2"/>
      <c r="G40" s="2"/>
      <c r="H40" s="2"/>
      <c r="I40" s="2"/>
      <c r="J40" s="19"/>
    </row>
    <row r="41" spans="2:10" ht="15" thickBot="1" x14ac:dyDescent="0.4">
      <c r="B41" s="20"/>
      <c r="C41" s="10"/>
      <c r="D41" s="10"/>
      <c r="E41" s="10"/>
      <c r="F41" s="10"/>
      <c r="G41" s="10"/>
      <c r="H41" s="10"/>
      <c r="I41" s="10"/>
      <c r="J41" s="18"/>
    </row>
    <row r="42" spans="2:10" ht="15" thickTop="1" x14ac:dyDescent="0.35"/>
  </sheetData>
  <mergeCells count="22">
    <mergeCell ref="P20:Q20"/>
    <mergeCell ref="R20:S20"/>
    <mergeCell ref="H13:I13"/>
    <mergeCell ref="H14:I14"/>
    <mergeCell ref="G15:H15"/>
    <mergeCell ref="G16:H16"/>
    <mergeCell ref="C3:J5"/>
    <mergeCell ref="G12:I12"/>
    <mergeCell ref="C6:E6"/>
    <mergeCell ref="C7:E7"/>
    <mergeCell ref="C8:E8"/>
    <mergeCell ref="C9:E9"/>
    <mergeCell ref="D20:F20"/>
    <mergeCell ref="D21:F21"/>
    <mergeCell ref="D22:F22"/>
    <mergeCell ref="D23:F23"/>
    <mergeCell ref="D24:F24"/>
    <mergeCell ref="D29:F29"/>
    <mergeCell ref="D25:F25"/>
    <mergeCell ref="D26:F26"/>
    <mergeCell ref="D27:F27"/>
    <mergeCell ref="D28:F28"/>
  </mergeCells>
  <hyperlinks>
    <hyperlink ref="D17" r:id="rId1" xr:uid="{A606207D-6069-4664-9ED5-43778FA76A1E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11</xdr:col>
                    <xdr:colOff>165100</xdr:colOff>
                    <xdr:row>9</xdr:row>
                    <xdr:rowOff>50800</xdr:rowOff>
                  </from>
                  <to>
                    <xdr:col>12</xdr:col>
                    <xdr:colOff>469900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Abel">
                <anchor moveWithCells="1" sizeWithCells="1">
                  <from>
                    <xdr:col>11</xdr:col>
                    <xdr:colOff>133350</xdr:colOff>
                    <xdr:row>13</xdr:row>
                    <xdr:rowOff>25400</xdr:rowOff>
                  </from>
                  <to>
                    <xdr:col>12</xdr:col>
                    <xdr:colOff>520700</xdr:colOff>
                    <xdr:row>15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5555F-5528-4835-AB49-CA398F2EDAF0}">
  <dimension ref="A1:K31"/>
  <sheetViews>
    <sheetView showGridLines="0" showRowColHeaders="0" workbookViewId="0">
      <selection activeCell="A2" sqref="A2"/>
    </sheetView>
  </sheetViews>
  <sheetFormatPr baseColWidth="10" defaultRowHeight="14.5" x14ac:dyDescent="0.35"/>
  <cols>
    <col min="1" max="1" width="31.36328125" customWidth="1"/>
    <col min="2" max="2" width="20.7265625" customWidth="1"/>
    <col min="3" max="3" width="30.26953125" customWidth="1"/>
    <col min="4" max="4" width="18.08984375" customWidth="1"/>
    <col min="5" max="5" width="21.453125" customWidth="1"/>
    <col min="6" max="6" width="7.7265625" customWidth="1"/>
    <col min="7" max="7" width="3.7265625" customWidth="1"/>
    <col min="8" max="8" width="6.81640625" customWidth="1"/>
    <col min="9" max="9" width="4.7265625" customWidth="1"/>
    <col min="11" max="11" width="11.26953125" customWidth="1"/>
  </cols>
  <sheetData>
    <row r="1" spans="1:11" x14ac:dyDescent="0.35">
      <c r="A1" s="39" t="s">
        <v>34</v>
      </c>
      <c r="B1" s="39" t="s">
        <v>35</v>
      </c>
      <c r="C1" s="39" t="s">
        <v>36</v>
      </c>
      <c r="D1" s="39" t="s">
        <v>37</v>
      </c>
      <c r="E1" s="39" t="s">
        <v>38</v>
      </c>
      <c r="F1" s="68" t="s">
        <v>40</v>
      </c>
      <c r="G1" s="68"/>
      <c r="H1" s="68" t="s">
        <v>41</v>
      </c>
      <c r="I1" s="68"/>
      <c r="J1" s="46" t="s">
        <v>42</v>
      </c>
      <c r="K1" s="39" t="s">
        <v>39</v>
      </c>
    </row>
    <row r="2" spans="1:11" s="1" customFormat="1" x14ac:dyDescent="0.35">
      <c r="A2" s="42"/>
      <c r="B2" s="42"/>
      <c r="C2" s="42"/>
      <c r="D2" s="42"/>
      <c r="E2" s="42"/>
      <c r="F2" s="42"/>
      <c r="G2" s="42"/>
      <c r="H2" s="42"/>
      <c r="I2" s="42"/>
      <c r="J2" s="47"/>
      <c r="K2" s="42"/>
    </row>
    <row r="3" spans="1:11" s="1" customFormat="1" x14ac:dyDescent="0.35">
      <c r="A3" s="43"/>
      <c r="B3" s="43"/>
      <c r="C3" s="37"/>
      <c r="D3" s="43"/>
      <c r="E3" s="49"/>
      <c r="F3" s="64"/>
      <c r="G3" s="64"/>
      <c r="H3" s="64"/>
      <c r="I3" s="64"/>
      <c r="J3" s="48"/>
      <c r="K3" s="53"/>
    </row>
    <row r="4" spans="1:11" s="1" customFormat="1" x14ac:dyDescent="0.35">
      <c r="A4" s="43"/>
      <c r="B4" s="43"/>
      <c r="C4" s="37"/>
      <c r="D4" s="43"/>
      <c r="E4" s="49"/>
      <c r="F4" s="64"/>
      <c r="G4" s="64"/>
      <c r="H4" s="64"/>
      <c r="I4" s="64"/>
      <c r="J4" s="48"/>
      <c r="K4" s="54"/>
    </row>
    <row r="5" spans="1:11" s="1" customFormat="1" x14ac:dyDescent="0.35">
      <c r="A5" s="43"/>
      <c r="B5" s="43"/>
      <c r="C5" s="37"/>
      <c r="D5" s="43"/>
      <c r="E5" s="49"/>
      <c r="F5" s="64"/>
      <c r="G5" s="64"/>
      <c r="H5" s="64"/>
      <c r="I5" s="64"/>
      <c r="J5" s="48"/>
      <c r="K5" s="54"/>
    </row>
    <row r="6" spans="1:11" s="1" customFormat="1" x14ac:dyDescent="0.35">
      <c r="A6" s="43"/>
      <c r="B6" s="43"/>
      <c r="C6" s="37"/>
      <c r="D6" s="43"/>
      <c r="E6" s="49"/>
      <c r="F6" s="64"/>
      <c r="G6" s="64"/>
      <c r="H6" s="64"/>
      <c r="I6" s="64"/>
      <c r="J6" s="48"/>
      <c r="K6" s="55"/>
    </row>
    <row r="7" spans="1:11" s="1" customFormat="1" x14ac:dyDescent="0.35">
      <c r="A7" s="42"/>
      <c r="B7" s="42"/>
      <c r="C7" s="42"/>
      <c r="D7" s="42"/>
      <c r="E7" s="42"/>
      <c r="F7" s="42"/>
      <c r="G7" s="42"/>
      <c r="H7" s="42"/>
      <c r="I7" s="42"/>
      <c r="J7" s="47"/>
      <c r="K7" s="42"/>
    </row>
    <row r="8" spans="1:11" s="1" customFormat="1" x14ac:dyDescent="0.35">
      <c r="A8" s="43"/>
      <c r="B8" s="43"/>
      <c r="C8" s="37"/>
      <c r="D8" s="43"/>
      <c r="E8" s="49"/>
      <c r="F8" s="64"/>
      <c r="G8" s="64"/>
      <c r="H8" s="64"/>
      <c r="I8" s="64"/>
      <c r="J8" s="48"/>
      <c r="K8" s="2"/>
    </row>
    <row r="9" spans="1:11" s="1" customFormat="1" x14ac:dyDescent="0.35">
      <c r="A9" s="43"/>
      <c r="B9" s="43"/>
      <c r="C9" s="37"/>
      <c r="D9" s="43"/>
      <c r="E9" s="49"/>
      <c r="F9" s="64"/>
      <c r="G9" s="64"/>
      <c r="H9" s="64"/>
      <c r="I9" s="64"/>
      <c r="J9" s="48"/>
      <c r="K9" s="2"/>
    </row>
    <row r="10" spans="1:11" s="1" customFormat="1" x14ac:dyDescent="0.35">
      <c r="A10" s="42"/>
      <c r="B10" s="42"/>
      <c r="C10" s="42"/>
      <c r="D10" s="42"/>
      <c r="E10" s="42"/>
      <c r="F10" s="42"/>
      <c r="G10" s="42"/>
      <c r="H10" s="42"/>
      <c r="I10" s="42"/>
      <c r="J10" s="47"/>
      <c r="K10" s="42"/>
    </row>
    <row r="11" spans="1:11" s="1" customFormat="1" x14ac:dyDescent="0.35">
      <c r="A11" s="38"/>
      <c r="B11" s="38"/>
      <c r="C11" s="37"/>
      <c r="D11" s="38"/>
      <c r="E11" s="38"/>
      <c r="F11" s="64"/>
      <c r="G11" s="64"/>
      <c r="H11" s="64"/>
      <c r="I11" s="64"/>
      <c r="J11" s="48"/>
      <c r="K11" s="2"/>
    </row>
    <row r="12" spans="1:11" s="1" customFormat="1" x14ac:dyDescent="0.35">
      <c r="A12" s="38"/>
      <c r="B12" s="38"/>
      <c r="C12" s="37"/>
      <c r="D12" s="38"/>
      <c r="E12" s="38"/>
      <c r="F12" s="64"/>
      <c r="G12" s="64"/>
      <c r="H12" s="64"/>
      <c r="I12" s="64"/>
      <c r="J12" s="48"/>
      <c r="K12" s="2"/>
    </row>
    <row r="13" spans="1:11" s="1" customFormat="1" x14ac:dyDescent="0.35">
      <c r="A13" s="38"/>
      <c r="B13" s="38"/>
      <c r="C13" s="37"/>
      <c r="D13" s="38"/>
      <c r="E13" s="38"/>
      <c r="F13" s="64"/>
      <c r="G13" s="64"/>
      <c r="H13" s="64"/>
      <c r="I13" s="64"/>
      <c r="J13" s="48"/>
    </row>
    <row r="14" spans="1:11" s="1" customFormat="1" x14ac:dyDescent="0.35">
      <c r="A14" s="38"/>
      <c r="B14" s="38"/>
      <c r="C14" s="37"/>
      <c r="D14" s="38"/>
      <c r="E14" s="38"/>
      <c r="F14" s="64"/>
      <c r="G14" s="64"/>
      <c r="H14" s="64"/>
      <c r="I14" s="64"/>
      <c r="J14" s="48"/>
    </row>
    <row r="15" spans="1:11" s="1" customFormat="1" x14ac:dyDescent="0.35">
      <c r="A15" s="38"/>
      <c r="B15" s="38"/>
      <c r="C15" s="37"/>
      <c r="D15" s="38"/>
      <c r="E15" s="38"/>
      <c r="F15" s="64"/>
      <c r="G15" s="64"/>
      <c r="H15" s="64"/>
      <c r="I15" s="64"/>
      <c r="J15" s="48"/>
    </row>
    <row r="16" spans="1:11" s="1" customFormat="1" x14ac:dyDescent="0.35">
      <c r="A16" s="38"/>
      <c r="B16" s="38"/>
      <c r="C16" s="37"/>
      <c r="D16" s="38"/>
      <c r="E16" s="38"/>
      <c r="F16" s="64"/>
      <c r="G16" s="64"/>
      <c r="H16" s="64"/>
      <c r="I16" s="64"/>
      <c r="J16" s="48"/>
    </row>
    <row r="17" spans="1:11" s="1" customFormat="1" x14ac:dyDescent="0.35">
      <c r="A17" s="38"/>
      <c r="B17" s="38"/>
      <c r="C17" s="37"/>
      <c r="D17" s="38"/>
      <c r="E17" s="38"/>
      <c r="F17" s="64"/>
      <c r="G17" s="64"/>
      <c r="H17" s="64"/>
      <c r="I17" s="64"/>
      <c r="J17" s="48"/>
    </row>
    <row r="18" spans="1:11" s="1" customFormat="1" x14ac:dyDescent="0.35">
      <c r="A18" s="38"/>
      <c r="B18" s="38"/>
      <c r="C18" s="37"/>
      <c r="D18" s="38"/>
      <c r="E18" s="38"/>
      <c r="F18" s="64"/>
      <c r="G18" s="64"/>
      <c r="H18" s="64"/>
      <c r="I18" s="64"/>
      <c r="J18" s="48"/>
    </row>
    <row r="19" spans="1:11" s="1" customFormat="1" x14ac:dyDescent="0.35">
      <c r="A19" s="38"/>
      <c r="B19" s="38"/>
      <c r="C19" s="37"/>
      <c r="D19" s="38"/>
      <c r="E19" s="38"/>
      <c r="F19" s="64"/>
      <c r="G19" s="64"/>
      <c r="H19" s="64"/>
      <c r="I19" s="64"/>
      <c r="J19" s="2"/>
    </row>
    <row r="20" spans="1:11" s="1" customFormat="1" x14ac:dyDescent="0.35">
      <c r="A20" s="38"/>
      <c r="B20" s="38"/>
      <c r="C20" s="37"/>
      <c r="D20" s="38"/>
      <c r="E20" s="38"/>
      <c r="F20" s="5"/>
      <c r="G20" s="5"/>
      <c r="H20" s="5"/>
      <c r="I20" s="5"/>
      <c r="J20" s="2"/>
    </row>
    <row r="21" spans="1:11" s="1" customFormat="1" x14ac:dyDescent="0.35">
      <c r="A21" s="36"/>
      <c r="B21" s="38"/>
      <c r="C21" s="37"/>
      <c r="D21" s="38"/>
      <c r="E21" s="38"/>
      <c r="F21" s="38"/>
      <c r="G21" s="38"/>
      <c r="H21" s="38"/>
      <c r="I21" s="38"/>
      <c r="J21" s="2"/>
    </row>
    <row r="22" spans="1:11" s="1" customFormat="1" x14ac:dyDescent="0.35">
      <c r="A22" s="36"/>
      <c r="B22" s="38"/>
      <c r="C22" s="37"/>
      <c r="D22" s="38"/>
      <c r="E22" s="38"/>
      <c r="F22" s="38"/>
      <c r="G22" s="38"/>
      <c r="H22" s="38"/>
      <c r="I22" s="38"/>
      <c r="J22" s="2"/>
    </row>
    <row r="23" spans="1:11" s="1" customFormat="1" x14ac:dyDescent="0.35">
      <c r="A23" s="36"/>
      <c r="B23" s="38"/>
      <c r="C23" s="37"/>
      <c r="D23" s="38"/>
      <c r="E23" s="38"/>
      <c r="F23" s="38"/>
      <c r="G23" s="38"/>
      <c r="H23" s="38"/>
      <c r="I23" s="38"/>
      <c r="J23" s="2"/>
    </row>
    <row r="24" spans="1:11" s="1" customFormat="1" x14ac:dyDescent="0.35">
      <c r="A24" s="36"/>
      <c r="B24" s="38"/>
      <c r="C24" s="37"/>
      <c r="D24" s="38"/>
      <c r="E24" s="38"/>
      <c r="F24" s="38"/>
      <c r="G24" s="38"/>
      <c r="H24" s="38"/>
      <c r="I24" s="38"/>
      <c r="J24" s="2"/>
    </row>
    <row r="25" spans="1:11" s="1" customFormat="1" x14ac:dyDescent="0.35">
      <c r="A25" s="36"/>
      <c r="B25" s="38"/>
      <c r="C25" s="37"/>
      <c r="D25" s="38"/>
      <c r="E25" s="38"/>
      <c r="F25" s="38"/>
      <c r="G25" s="38"/>
      <c r="H25" s="38"/>
      <c r="I25" s="38"/>
      <c r="J25" s="2"/>
    </row>
    <row r="26" spans="1:11" x14ac:dyDescent="0.35">
      <c r="A26" s="36"/>
      <c r="B26" s="38"/>
      <c r="C26" s="37"/>
      <c r="D26" s="38"/>
      <c r="E26" s="38"/>
      <c r="F26" s="38"/>
      <c r="G26" s="38"/>
      <c r="H26" s="38"/>
      <c r="I26" s="38"/>
      <c r="J26" s="2"/>
    </row>
    <row r="31" spans="1:11" x14ac:dyDescent="0.35">
      <c r="A31" s="43"/>
      <c r="B31" s="43"/>
      <c r="C31" s="37"/>
      <c r="D31" s="43"/>
      <c r="E31" s="49"/>
      <c r="F31" s="64"/>
      <c r="G31" s="64"/>
      <c r="H31" s="64"/>
      <c r="I31" s="64"/>
      <c r="J31" s="48"/>
      <c r="K31" s="2"/>
    </row>
  </sheetData>
  <mergeCells count="34">
    <mergeCell ref="F18:G18"/>
    <mergeCell ref="H18:I18"/>
    <mergeCell ref="F5:G5"/>
    <mergeCell ref="H5:I5"/>
    <mergeCell ref="F3:G3"/>
    <mergeCell ref="H3:I3"/>
    <mergeCell ref="F31:G31"/>
    <mergeCell ref="H31:I31"/>
    <mergeCell ref="F8:G8"/>
    <mergeCell ref="H8:I8"/>
    <mergeCell ref="F9:G9"/>
    <mergeCell ref="H9:I9"/>
    <mergeCell ref="F16:G16"/>
    <mergeCell ref="H16:I16"/>
    <mergeCell ref="F15:G15"/>
    <mergeCell ref="H15:I15"/>
    <mergeCell ref="F19:G19"/>
    <mergeCell ref="H19:I19"/>
    <mergeCell ref="F4:G4"/>
    <mergeCell ref="H4:I4"/>
    <mergeCell ref="F17:G17"/>
    <mergeCell ref="H17:I17"/>
    <mergeCell ref="F1:G1"/>
    <mergeCell ref="H1:I1"/>
    <mergeCell ref="F14:G14"/>
    <mergeCell ref="H14:I14"/>
    <mergeCell ref="F13:G13"/>
    <mergeCell ref="H13:I13"/>
    <mergeCell ref="F12:G12"/>
    <mergeCell ref="H12:I12"/>
    <mergeCell ref="F11:G11"/>
    <mergeCell ref="H11:I11"/>
    <mergeCell ref="F6:G6"/>
    <mergeCell ref="H6:I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E921B-9065-4642-89E9-6EA270B0DE75}">
  <dimension ref="A1:C9"/>
  <sheetViews>
    <sheetView workbookViewId="0">
      <selection activeCell="B29" sqref="B29"/>
    </sheetView>
  </sheetViews>
  <sheetFormatPr baseColWidth="10" defaultRowHeight="14.5" x14ac:dyDescent="0.35"/>
  <cols>
    <col min="1" max="1" width="8.26953125" customWidth="1"/>
    <col min="2" max="2" width="25.1796875" customWidth="1"/>
    <col min="3" max="3" width="8" customWidth="1"/>
    <col min="4" max="4" width="24.36328125" customWidth="1"/>
  </cols>
  <sheetData>
    <row r="1" spans="1:3" x14ac:dyDescent="0.35">
      <c r="A1" s="26" t="s">
        <v>21</v>
      </c>
      <c r="B1" s="26" t="s">
        <v>22</v>
      </c>
      <c r="C1" s="26" t="s">
        <v>4</v>
      </c>
    </row>
    <row r="2" spans="1:3" x14ac:dyDescent="0.35">
      <c r="A2" s="28">
        <v>1</v>
      </c>
      <c r="B2" s="24" t="s">
        <v>0</v>
      </c>
      <c r="C2" s="24">
        <v>400</v>
      </c>
    </row>
    <row r="3" spans="1:3" x14ac:dyDescent="0.35">
      <c r="A3" s="29">
        <v>2</v>
      </c>
      <c r="B3" s="25" t="s">
        <v>1</v>
      </c>
      <c r="C3" s="25">
        <v>350</v>
      </c>
    </row>
    <row r="4" spans="1:3" x14ac:dyDescent="0.35">
      <c r="A4" s="28">
        <v>3</v>
      </c>
      <c r="B4" s="24" t="s">
        <v>2</v>
      </c>
      <c r="C4" s="24">
        <v>200</v>
      </c>
    </row>
    <row r="5" spans="1:3" x14ac:dyDescent="0.35">
      <c r="A5" s="29">
        <v>4</v>
      </c>
      <c r="B5" s="25" t="s">
        <v>3</v>
      </c>
      <c r="C5" s="25">
        <v>250</v>
      </c>
    </row>
    <row r="6" spans="1:3" x14ac:dyDescent="0.35">
      <c r="A6" s="28">
        <v>5</v>
      </c>
      <c r="B6" s="24" t="s">
        <v>5</v>
      </c>
      <c r="C6" s="24">
        <v>50</v>
      </c>
    </row>
    <row r="7" spans="1:3" x14ac:dyDescent="0.35">
      <c r="A7" s="29">
        <v>6</v>
      </c>
      <c r="B7" s="25" t="s">
        <v>6</v>
      </c>
      <c r="C7" s="25">
        <v>12</v>
      </c>
    </row>
    <row r="8" spans="1:3" x14ac:dyDescent="0.35">
      <c r="A8" s="28">
        <v>7</v>
      </c>
      <c r="B8" s="24" t="s">
        <v>7</v>
      </c>
      <c r="C8" s="24">
        <v>40</v>
      </c>
    </row>
    <row r="9" spans="1:3" x14ac:dyDescent="0.35">
      <c r="A9" s="28">
        <v>8</v>
      </c>
      <c r="B9" s="24" t="s">
        <v>26</v>
      </c>
      <c r="C9" s="24" t="s">
        <v>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7A81B-48D1-4C25-9355-2E0DAEE0CA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Facturas</vt:lpstr>
      <vt:lpstr>base de datos (clientes)</vt:lpstr>
      <vt:lpstr>DatosP</vt:lpstr>
      <vt:lpstr>tabla1</vt:lpstr>
    </vt:vector>
  </TitlesOfParts>
  <Company>Universidad Tecnologica de Jalisco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Alumnos-UTJCCD</dc:creator>
  <cp:lastModifiedBy>Golver Silver</cp:lastModifiedBy>
  <cp:lastPrinted>2022-11-12T00:15:06Z</cp:lastPrinted>
  <dcterms:created xsi:type="dcterms:W3CDTF">2022-11-11T17:13:44Z</dcterms:created>
  <dcterms:modified xsi:type="dcterms:W3CDTF">2022-11-28T21:11:33Z</dcterms:modified>
</cp:coreProperties>
</file>