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52332\Downloads\"/>
    </mc:Choice>
  </mc:AlternateContent>
  <xr:revisionPtr revIDLastSave="0" documentId="13_ncr:1_{F452EB1F-93AA-469E-8915-9E88B730486B}" xr6:coauthVersionLast="47" xr6:coauthVersionMax="47" xr10:uidLastSave="{00000000-0000-0000-0000-000000000000}"/>
  <bookViews>
    <workbookView xWindow="-110" yWindow="-110" windowWidth="19420" windowHeight="10300" xr2:uid="{8C474680-46A8-407E-8931-D0D5A5AB2401}"/>
  </bookViews>
  <sheets>
    <sheet name="Presupuesto" sheetId="1" r:id="rId1"/>
    <sheet name="Fichas tecnicas" sheetId="3" r:id="rId2"/>
    <sheet name="Datos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" i="1" l="1"/>
  <c r="F13" i="1"/>
  <c r="G13" i="1" s="1"/>
  <c r="E13" i="1"/>
  <c r="F11" i="1" l="1"/>
  <c r="G11" i="1" s="1"/>
  <c r="E11" i="1"/>
  <c r="F12" i="1"/>
  <c r="G12" i="1" s="1"/>
  <c r="E12" i="1"/>
  <c r="F10" i="1"/>
  <c r="G10" i="1" s="1"/>
  <c r="F14" i="1"/>
  <c r="G14" i="1" s="1"/>
  <c r="F9" i="1"/>
  <c r="G9" i="1" s="1"/>
  <c r="G15" i="1" s="1"/>
  <c r="E9" i="1"/>
  <c r="E10" i="1"/>
  <c r="E14" i="1"/>
  <c r="G25" i="1" l="1"/>
  <c r="G26" i="1" l="1"/>
  <c r="G28" i="1" s="1"/>
</calcChain>
</file>

<file path=xl/sharedStrings.xml><?xml version="1.0" encoding="utf-8"?>
<sst xmlns="http://schemas.openxmlformats.org/spreadsheetml/2006/main" count="60" uniqueCount="45">
  <si>
    <t>Concepto</t>
  </si>
  <si>
    <t>Unidad</t>
  </si>
  <si>
    <t>Precio Unitario</t>
  </si>
  <si>
    <t>m2</t>
  </si>
  <si>
    <t xml:space="preserve">Precio Unitario </t>
  </si>
  <si>
    <t>Precio total</t>
  </si>
  <si>
    <t xml:space="preserve">Unidad </t>
  </si>
  <si>
    <t>Pza</t>
  </si>
  <si>
    <t xml:space="preserve"> </t>
  </si>
  <si>
    <t>IVA (16%)</t>
  </si>
  <si>
    <t>Total del presupuesto</t>
  </si>
  <si>
    <t xml:space="preserve"> TP-Link WiFi 6 AX3000 Smart WiFi Router</t>
  </si>
  <si>
    <t>Switch TP-Link TL-SG1016D 16 Puertos</t>
  </si>
  <si>
    <t>HP 22-inch All-in-One Desktop Computer</t>
  </si>
  <si>
    <t>Clable UTP Cat 5e</t>
  </si>
  <si>
    <t>Cantidad</t>
  </si>
  <si>
    <t>Descripción</t>
  </si>
  <si>
    <t xml:space="preserve">Conectores Rj45 </t>
  </si>
  <si>
    <t>Imagen</t>
  </si>
  <si>
    <t>Xploude</t>
  </si>
  <si>
    <t>Total:</t>
  </si>
  <si>
    <t>Total insumos:</t>
  </si>
  <si>
    <t>Desarrollo del programa</t>
  </si>
  <si>
    <t>Implementación de red</t>
  </si>
  <si>
    <t xml:space="preserve">Capacitación </t>
  </si>
  <si>
    <t>Solución Ofimatica</t>
  </si>
  <si>
    <t>Insumos</t>
  </si>
  <si>
    <t>Total de servicios de desarrollo::</t>
  </si>
  <si>
    <t>Fichas técnicas</t>
  </si>
  <si>
    <t>Router WiFi 6 Doble Banda Gigabit AX3000</t>
  </si>
  <si>
    <t>1. Velocidad Gigabit y Wi-Fi 6 de próxima generación: 2402 Mbps en 5 GHz y 574 Mbps en banda de 2.4 GHz garantizan una transmisión más fluida y descargas más rápidas.
2. Latencia ultrabaja
3.  Cuatro antenas externas de alta ganancia y la tecnología Beamforming se combinan para extender Wi-Fi fuerte y confiable en todo su hogar.</t>
  </si>
  <si>
    <t>1. 16 puertos de 10/100/1000 Mbps.
2. La tecnología innovadora de eficiencia energética ahorra consumo de energía.
3. Admite autoaprendizaje de direcciones MAC, Auto MDI / MDIX y negociación automática.</t>
  </si>
  <si>
    <t>1. 8 pines, para cable utp de 8 hilos</t>
  </si>
  <si>
    <t>Cable UTP Cat 5e</t>
  </si>
  <si>
    <t>1. Pantalla FHD (1920 x 1080), VA, , microborde en tres lados, antirreflejante, de 21.5 tamaño de pantalla en diagonal.
2. Procesador Intel Celeron J4025u
3. Memoria Interna 1 TB
4. Sistema operativo: Windows</t>
  </si>
  <si>
    <t>1. Resistencia de aislamiento: Min. 5000 mega ohms-km at 20
2. Prueba dieléctrica: 1000V DC/1 min, No Breakdown
3. Voltaje: 30V</t>
  </si>
  <si>
    <t xml:space="preserve">Vigencia del presupuesto: </t>
  </si>
  <si>
    <t>Impresora HP Ink tank 115 Negra</t>
  </si>
  <si>
    <t>Servicios de desarrollo:</t>
  </si>
  <si>
    <t>Microsoft 365 Empresa Estándar</t>
  </si>
  <si>
    <t>1. Logra imprimir hasta 8000 página con una botella de color.
2. Puede alcanzar a imprimir 6000 páginas con una botella de tinta negra.</t>
  </si>
  <si>
    <t>1. Versiones de escritorio de las aplicaciones de Office con características premium
2. Organización sencilla de seminarios web
3. Herramientas de informes y registro de asistentes
4. Administrar citas de clientes</t>
  </si>
  <si>
    <t>Dirección:  Calle Independecia No. 55</t>
  </si>
  <si>
    <t>23 de octubre de 2022</t>
  </si>
  <si>
    <t xml:space="preserve">
Correo: xploudeyourmind@gmail.com
Redes sociales: 
Instagram: @XPLOUDE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</si>
</sst>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$-409]* #,##0.00_ ;_-[$$-409]* \-#,##0.00\ ;_-[$$-409]* &quot;-&quot;??_ ;_-@_ "/>
    <numFmt numFmtId="165" formatCode="[$$-409]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2343A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 applyAlignment="1">
      <alignment horizontal="center"/>
    </xf>
    <xf numFmtId="0" fontId="0" fillId="0" borderId="1" xfId="0" applyBorder="1"/>
    <xf numFmtId="0" fontId="0" fillId="0" borderId="7" xfId="0" applyBorder="1" applyAlignment="1">
      <alignment horizontal="center"/>
    </xf>
    <xf numFmtId="0" fontId="0" fillId="0" borderId="8" xfId="0" applyBorder="1"/>
    <xf numFmtId="164" fontId="0" fillId="0" borderId="6" xfId="0" applyNumberFormat="1" applyBorder="1"/>
    <xf numFmtId="164" fontId="0" fillId="0" borderId="9" xfId="0" applyNumberFormat="1" applyBorder="1"/>
    <xf numFmtId="0" fontId="0" fillId="0" borderId="1" xfId="0" applyBorder="1" applyAlignment="1">
      <alignment horizontal="center" vertical="center"/>
    </xf>
    <xf numFmtId="0" fontId="0" fillId="0" borderId="17" xfId="0" applyBorder="1"/>
    <xf numFmtId="0" fontId="0" fillId="0" borderId="0" xfId="0" applyBorder="1"/>
    <xf numFmtId="165" fontId="0" fillId="0" borderId="1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</cellXfs>
  <cellStyles count="1">
    <cellStyle name="Normal" xfId="0" builtinId="0"/>
  </cellStyles>
  <dxfs count="7">
    <dxf>
      <numFmt numFmtId="164" formatCode="_-[$$-409]* #,##0.00_ ;_-[$$-409]* \-#,##0.00\ ;_-[$$-409]* &quot;-&quot;??_ ;_-@_ 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7" Type="http://schemas.openxmlformats.org/officeDocument/2006/relationships/image" Target="../media/image10.png"/><Relationship Id="rId2" Type="http://schemas.openxmlformats.org/officeDocument/2006/relationships/image" Target="../media/image9.jpeg"/><Relationship Id="rId1" Type="http://schemas.openxmlformats.org/officeDocument/2006/relationships/image" Target="../media/image8.jpeg"/><Relationship Id="rId6" Type="http://schemas.openxmlformats.org/officeDocument/2006/relationships/image" Target="../media/image7.jpeg"/><Relationship Id="rId5" Type="http://schemas.openxmlformats.org/officeDocument/2006/relationships/image" Target="../media/image1.jpeg"/><Relationship Id="rId4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270213</xdr:colOff>
      <xdr:row>13</xdr:row>
      <xdr:rowOff>27020</xdr:rowOff>
    </xdr:from>
    <xdr:to>
      <xdr:col>3</xdr:col>
      <xdr:colOff>1247667</xdr:colOff>
      <xdr:row>13</xdr:row>
      <xdr:rowOff>635000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585" y="3147977"/>
          <a:ext cx="977454" cy="607980"/>
        </a:xfrm>
        <a:prstGeom prst="rect">
          <a:avLst/>
        </a:prstGeom>
      </xdr:spPr>
    </xdr:pic>
    <xdr:clientData/>
  </xdr:twoCellAnchor>
  <xdr:twoCellAnchor editAs="oneCell">
    <xdr:from>
      <xdr:col>3</xdr:col>
      <xdr:colOff>370171</xdr:colOff>
      <xdr:row>8</xdr:row>
      <xdr:rowOff>36577</xdr:rowOff>
    </xdr:from>
    <xdr:to>
      <xdr:col>3</xdr:col>
      <xdr:colOff>1175426</xdr:colOff>
      <xdr:row>8</xdr:row>
      <xdr:rowOff>652476</xdr:rowOff>
    </xdr:to>
    <xdr:pic>
      <xdr:nvPicPr>
        <xdr:cNvPr id="5" name="Imagen 4" descr="image-0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985" b="16175"/>
        <a:stretch/>
      </xdr:blipFill>
      <xdr:spPr bwMode="auto">
        <a:xfrm>
          <a:off x="4423362" y="401364"/>
          <a:ext cx="805255" cy="6158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72714</xdr:colOff>
      <xdr:row>9</xdr:row>
      <xdr:rowOff>108085</xdr:rowOff>
    </xdr:from>
    <xdr:to>
      <xdr:col>3</xdr:col>
      <xdr:colOff>1405107</xdr:colOff>
      <xdr:row>9</xdr:row>
      <xdr:rowOff>594469</xdr:rowOff>
    </xdr:to>
    <xdr:pic>
      <xdr:nvPicPr>
        <xdr:cNvPr id="6" name="Imagen 5" descr="image-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2561" b="30710"/>
        <a:stretch/>
      </xdr:blipFill>
      <xdr:spPr bwMode="auto">
        <a:xfrm>
          <a:off x="4125905" y="1161915"/>
          <a:ext cx="1332393" cy="486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385054</xdr:colOff>
      <xdr:row>10</xdr:row>
      <xdr:rowOff>67554</xdr:rowOff>
    </xdr:from>
    <xdr:to>
      <xdr:col>3</xdr:col>
      <xdr:colOff>972767</xdr:colOff>
      <xdr:row>10</xdr:row>
      <xdr:rowOff>598620</xdr:rowOff>
    </xdr:to>
    <xdr:pic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90" b="7655"/>
        <a:stretch/>
      </xdr:blipFill>
      <xdr:spPr bwMode="auto">
        <a:xfrm>
          <a:off x="4438245" y="1810426"/>
          <a:ext cx="587713" cy="5310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385054</xdr:colOff>
      <xdr:row>11</xdr:row>
      <xdr:rowOff>55709</xdr:rowOff>
    </xdr:from>
    <xdr:to>
      <xdr:col>3</xdr:col>
      <xdr:colOff>1101117</xdr:colOff>
      <xdr:row>11</xdr:row>
      <xdr:rowOff>628244</xdr:rowOff>
    </xdr:to>
    <xdr:pic>
      <xdr:nvPicPr>
        <xdr:cNvPr id="8" name="Imagen 7" descr="All in One HP 22-dd0520la Intel Celeron J4025 4GB RAM 1TB DD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10" t="11210" r="4228" b="14804"/>
        <a:stretch/>
      </xdr:blipFill>
      <xdr:spPr bwMode="auto">
        <a:xfrm>
          <a:off x="4438245" y="2487624"/>
          <a:ext cx="716063" cy="5725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1358903</xdr:colOff>
      <xdr:row>0</xdr:row>
      <xdr:rowOff>0</xdr:rowOff>
    </xdr:from>
    <xdr:to>
      <xdr:col>4</xdr:col>
      <xdr:colOff>336822</xdr:colOff>
      <xdr:row>0</xdr:row>
      <xdr:rowOff>1164352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2903" y="0"/>
          <a:ext cx="3041919" cy="1164352"/>
        </a:xfrm>
        <a:prstGeom prst="rect">
          <a:avLst/>
        </a:prstGeom>
      </xdr:spPr>
    </xdr:pic>
    <xdr:clientData/>
  </xdr:twoCellAnchor>
  <xdr:twoCellAnchor editAs="oneCell">
    <xdr:from>
      <xdr:col>3</xdr:col>
      <xdr:colOff>158750</xdr:colOff>
      <xdr:row>12</xdr:row>
      <xdr:rowOff>56985</xdr:rowOff>
    </xdr:from>
    <xdr:to>
      <xdr:col>3</xdr:col>
      <xdr:colOff>1314450</xdr:colOff>
      <xdr:row>12</xdr:row>
      <xdr:rowOff>666749</xdr:rowOff>
    </xdr:to>
    <xdr:pic>
      <xdr:nvPicPr>
        <xdr:cNvPr id="2" name="Imagen 1" descr="Impresora HP Ink tank 115 Negra">
          <a:extLst>
            <a:ext uri="{FF2B5EF4-FFF2-40B4-BE49-F238E27FC236}">
              <a16:creationId xmlns:a16="http://schemas.microsoft.com/office/drawing/2014/main" id="{E21C3D24-2AE9-17E4-8334-540323D8620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60" t="27405" r="6776" b="27187"/>
        <a:stretch/>
      </xdr:blipFill>
      <xdr:spPr bwMode="auto">
        <a:xfrm>
          <a:off x="5035550" y="5664035"/>
          <a:ext cx="1155700" cy="609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196850</xdr:colOff>
      <xdr:row>2</xdr:row>
      <xdr:rowOff>44450</xdr:rowOff>
    </xdr:from>
    <xdr:to>
      <xdr:col>5</xdr:col>
      <xdr:colOff>133350</xdr:colOff>
      <xdr:row>10</xdr:row>
      <xdr:rowOff>139733</xdr:rowOff>
    </xdr:to>
    <xdr:pic>
      <xdr:nvPicPr>
        <xdr:cNvPr id="2" name="Imagen 1" descr="Router WiFi 6 Doble Banda Gigabit AX3000 1">
          <a:extLst>
            <a:ext uri="{FF2B5EF4-FFF2-40B4-BE49-F238E27FC236}">
              <a16:creationId xmlns:a16="http://schemas.microsoft.com/office/drawing/2014/main" id="{39F256B7-4C33-6EA3-2CB1-36672577C32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541" b="15886"/>
        <a:stretch/>
      </xdr:blipFill>
      <xdr:spPr bwMode="auto">
        <a:xfrm>
          <a:off x="1720850" y="425450"/>
          <a:ext cx="2222500" cy="1568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387350</xdr:colOff>
      <xdr:row>12</xdr:row>
      <xdr:rowOff>171450</xdr:rowOff>
    </xdr:from>
    <xdr:to>
      <xdr:col>6</xdr:col>
      <xdr:colOff>19050</xdr:colOff>
      <xdr:row>21</xdr:row>
      <xdr:rowOff>38100</xdr:rowOff>
    </xdr:to>
    <xdr:pic>
      <xdr:nvPicPr>
        <xdr:cNvPr id="3" name="Imagen 2" descr="Switch de 16 puertos Gigabit para escritorio / montaje en rack 1">
          <a:extLst>
            <a:ext uri="{FF2B5EF4-FFF2-40B4-BE49-F238E27FC236}">
              <a16:creationId xmlns:a16="http://schemas.microsoft.com/office/drawing/2014/main" id="{E3BE77E9-7297-0A00-C630-97CC910A428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848" t="28460" r="7762" b="24756"/>
        <a:stretch/>
      </xdr:blipFill>
      <xdr:spPr bwMode="auto">
        <a:xfrm>
          <a:off x="1149350" y="2393950"/>
          <a:ext cx="3441700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501650</xdr:colOff>
      <xdr:row>23</xdr:row>
      <xdr:rowOff>103282</xdr:rowOff>
    </xdr:from>
    <xdr:to>
      <xdr:col>5</xdr:col>
      <xdr:colOff>6350</xdr:colOff>
      <xdr:row>32</xdr:row>
      <xdr:rowOff>64035</xdr:rowOff>
    </xdr:to>
    <xdr:pic>
      <xdr:nvPicPr>
        <xdr:cNvPr id="4" name="Imagen 3" descr="Ver las imágenes de origen">
          <a:extLst>
            <a:ext uri="{FF2B5EF4-FFF2-40B4-BE49-F238E27FC236}">
              <a16:creationId xmlns:a16="http://schemas.microsoft.com/office/drawing/2014/main" id="{51E0AF5F-43A5-4493-8CFB-A6285FBE157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90" b="7655"/>
        <a:stretch/>
      </xdr:blipFill>
      <xdr:spPr bwMode="auto">
        <a:xfrm>
          <a:off x="2025650" y="4351432"/>
          <a:ext cx="1790700" cy="16181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69850</xdr:colOff>
      <xdr:row>34</xdr:row>
      <xdr:rowOff>82550</xdr:rowOff>
    </xdr:from>
    <xdr:to>
      <xdr:col>4</xdr:col>
      <xdr:colOff>577850</xdr:colOff>
      <xdr:row>43</xdr:row>
      <xdr:rowOff>49905</xdr:rowOff>
    </xdr:to>
    <xdr:pic>
      <xdr:nvPicPr>
        <xdr:cNvPr id="5" name="Imagen 4" descr="All in One HP 22-dd0520la Intel Celeron J4025 4GB RAM 1TB DD">
          <a:extLst>
            <a:ext uri="{FF2B5EF4-FFF2-40B4-BE49-F238E27FC236}">
              <a16:creationId xmlns:a16="http://schemas.microsoft.com/office/drawing/2014/main" id="{E7A520A0-E439-4FCA-8872-C93D582AEC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10" t="11210" r="4228" b="14804"/>
        <a:stretch/>
      </xdr:blipFill>
      <xdr:spPr bwMode="auto">
        <a:xfrm>
          <a:off x="1593850" y="6356350"/>
          <a:ext cx="2032000" cy="16247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704850</xdr:colOff>
      <xdr:row>45</xdr:row>
      <xdr:rowOff>107949</xdr:rowOff>
    </xdr:from>
    <xdr:to>
      <xdr:col>5</xdr:col>
      <xdr:colOff>114300</xdr:colOff>
      <xdr:row>53</xdr:row>
      <xdr:rowOff>163292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7B326D1-6240-478D-9A46-6EECDDD68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850" y="8407399"/>
          <a:ext cx="2457450" cy="1528543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56</xdr:row>
      <xdr:rowOff>63500</xdr:rowOff>
    </xdr:from>
    <xdr:to>
      <xdr:col>5</xdr:col>
      <xdr:colOff>463550</xdr:colOff>
      <xdr:row>65</xdr:row>
      <xdr:rowOff>124881</xdr:rowOff>
    </xdr:to>
    <xdr:pic>
      <xdr:nvPicPr>
        <xdr:cNvPr id="7" name="Imagen 6" descr="Impresora HP Ink tank 115 Negra">
          <a:extLst>
            <a:ext uri="{FF2B5EF4-FFF2-40B4-BE49-F238E27FC236}">
              <a16:creationId xmlns:a16="http://schemas.microsoft.com/office/drawing/2014/main" id="{A9041A7E-881C-45BF-A59F-B15698655EA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60" t="27405" r="6776" b="27187"/>
        <a:stretch/>
      </xdr:blipFill>
      <xdr:spPr bwMode="auto">
        <a:xfrm>
          <a:off x="1016000" y="10388600"/>
          <a:ext cx="3257550" cy="17187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317500</xdr:colOff>
      <xdr:row>67</xdr:row>
      <xdr:rowOff>114827</xdr:rowOff>
    </xdr:from>
    <xdr:to>
      <xdr:col>4</xdr:col>
      <xdr:colOff>317500</xdr:colOff>
      <xdr:row>76</xdr:row>
      <xdr:rowOff>19107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545D9FBA-8D96-94CD-7143-BA0C44DE54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41500" y="12465577"/>
          <a:ext cx="1524000" cy="156163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AF3E17-B702-4889-8A21-883544A7A4F7}" name="Tabla1" displayName="Tabla1" ref="B2:D8" totalsRowShown="0" headerRowDxfId="6" headerRowBorderDxfId="5" tableBorderDxfId="4" totalsRowBorderDxfId="3">
  <autoFilter ref="B2:D8" xr:uid="{F1AF3E17-B702-4889-8A21-883544A7A4F7}"/>
  <tableColumns count="3">
    <tableColumn id="1" xr3:uid="{301047CA-8E1F-4372-B711-49C544732C84}" name="Concepto" dataDxfId="2"/>
    <tableColumn id="2" xr3:uid="{F4941A5D-4FE5-4AC5-8152-C92A2879D26D}" name="Unidad" dataDxfId="1"/>
    <tableColumn id="3" xr3:uid="{41DC324B-EB88-41FC-9671-AEAAEDC52516}" name="Precio Unitario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87A84-CACC-4F56-9E24-73A6294DD890}">
  <sheetPr codeName="Hoja1"/>
  <dimension ref="A1:H31"/>
  <sheetViews>
    <sheetView showGridLines="0" tabSelected="1" zoomScaleNormal="100" workbookViewId="0">
      <selection activeCell="I3" sqref="I3"/>
    </sheetView>
  </sheetViews>
  <sheetFormatPr baseColWidth="10" defaultRowHeight="14.5" x14ac:dyDescent="0.35"/>
  <cols>
    <col min="2" max="2" width="22.7265625" style="17" bestFit="1" customWidth="1"/>
    <col min="3" max="3" width="36.1796875" style="17" bestFit="1" customWidth="1"/>
    <col min="4" max="4" width="22" style="17" customWidth="1"/>
    <col min="5" max="5" width="10.90625" style="17"/>
    <col min="6" max="6" width="13.7265625" style="17" bestFit="1" customWidth="1"/>
    <col min="7" max="7" width="12" style="17" bestFit="1" customWidth="1"/>
    <col min="10" max="10" width="13" bestFit="1" customWidth="1"/>
  </cols>
  <sheetData>
    <row r="1" spans="1:8" ht="93" customHeight="1" x14ac:dyDescent="0.35">
      <c r="B1" s="32" t="s">
        <v>19</v>
      </c>
      <c r="C1" s="33"/>
      <c r="D1" s="33"/>
      <c r="E1" s="33"/>
      <c r="F1" s="33"/>
      <c r="G1" s="34"/>
    </row>
    <row r="2" spans="1:8" ht="30" customHeight="1" x14ac:dyDescent="0.35">
      <c r="B2" s="35" t="s">
        <v>42</v>
      </c>
      <c r="C2" s="36"/>
      <c r="D2" s="36"/>
      <c r="E2" s="36"/>
      <c r="F2" s="36"/>
      <c r="G2" s="37"/>
    </row>
    <row r="3" spans="1:8" ht="59" customHeight="1" x14ac:dyDescent="0.35">
      <c r="B3" s="46" t="s">
        <v>44</v>
      </c>
      <c r="C3" s="41"/>
      <c r="D3" s="41"/>
      <c r="E3" s="41"/>
      <c r="F3" s="41"/>
      <c r="G3" s="41"/>
    </row>
    <row r="4" spans="1:8" x14ac:dyDescent="0.35">
      <c r="B4" s="14"/>
      <c r="C4" s="18"/>
      <c r="E4" s="14"/>
      <c r="F4" s="24"/>
      <c r="G4" s="19"/>
    </row>
    <row r="5" spans="1:8" x14ac:dyDescent="0.35">
      <c r="B5" s="15"/>
      <c r="C5" s="19"/>
      <c r="D5" s="22"/>
      <c r="E5" s="15"/>
      <c r="F5" s="25"/>
      <c r="G5" s="15"/>
    </row>
    <row r="6" spans="1:8" x14ac:dyDescent="0.35">
      <c r="A6" s="11"/>
      <c r="B6" s="16"/>
      <c r="C6" s="20"/>
      <c r="D6" s="16"/>
      <c r="E6" s="23"/>
      <c r="F6" s="25"/>
      <c r="G6" s="23"/>
    </row>
    <row r="7" spans="1:8" x14ac:dyDescent="0.35">
      <c r="A7" s="12"/>
      <c r="B7" s="31" t="s">
        <v>26</v>
      </c>
      <c r="C7" s="31"/>
      <c r="D7" s="31"/>
      <c r="E7" s="31"/>
      <c r="F7" s="31"/>
      <c r="G7" s="31"/>
      <c r="H7" s="12"/>
    </row>
    <row r="8" spans="1:8" x14ac:dyDescent="0.35">
      <c r="B8" s="27" t="s">
        <v>15</v>
      </c>
      <c r="C8" s="27" t="s">
        <v>16</v>
      </c>
      <c r="D8" s="27" t="s">
        <v>18</v>
      </c>
      <c r="E8" s="27" t="s">
        <v>6</v>
      </c>
      <c r="F8" s="27" t="s">
        <v>4</v>
      </c>
      <c r="G8" s="27" t="s">
        <v>5</v>
      </c>
    </row>
    <row r="9" spans="1:8" ht="54" customHeight="1" x14ac:dyDescent="0.35">
      <c r="B9" s="10">
        <v>1</v>
      </c>
      <c r="C9" s="10" t="s">
        <v>11</v>
      </c>
      <c r="D9" s="10"/>
      <c r="E9" s="10" t="str">
        <f>IFERROR(VLOOKUP(C9,Tabla1[#All],2,FALSE),"")</f>
        <v>Pza</v>
      </c>
      <c r="F9" s="13">
        <f>IFERROR(VLOOKUP(C9,Tabla1[#All],3,FALSE),"")</f>
        <v>79.69</v>
      </c>
      <c r="G9" s="13">
        <f>F9*B9</f>
        <v>79.69</v>
      </c>
    </row>
    <row r="10" spans="1:8" ht="54" customHeight="1" x14ac:dyDescent="0.35">
      <c r="B10" s="10">
        <v>1</v>
      </c>
      <c r="C10" s="10" t="s">
        <v>12</v>
      </c>
      <c r="D10" s="10"/>
      <c r="E10" s="10" t="str">
        <f>IFERROR(VLOOKUP(C10,Tabla1[#All],2,FALSE),"")</f>
        <v>Pza</v>
      </c>
      <c r="F10" s="13">
        <f>IFERROR(VLOOKUP(C10,Tabla1[#All],3,FALSE),"")</f>
        <v>82.25</v>
      </c>
      <c r="G10" s="13">
        <f>F10*B10</f>
        <v>82.25</v>
      </c>
    </row>
    <row r="11" spans="1:8" ht="54" customHeight="1" x14ac:dyDescent="0.35">
      <c r="B11" s="10">
        <v>16</v>
      </c>
      <c r="C11" s="10" t="s">
        <v>17</v>
      </c>
      <c r="E11" s="10" t="str">
        <f>IFERROR(VLOOKUP(C11,Tabla1[#All],2,FALSE),"")</f>
        <v>Pza</v>
      </c>
      <c r="F11" s="13">
        <f>IFERROR(VLOOKUP(C11,Tabla1[#All],3,FALSE),"")</f>
        <v>0.15</v>
      </c>
      <c r="G11" s="13">
        <f>F11*B11</f>
        <v>2.4</v>
      </c>
    </row>
    <row r="12" spans="1:8" ht="54" customHeight="1" x14ac:dyDescent="0.35">
      <c r="B12" s="10">
        <v>6</v>
      </c>
      <c r="C12" s="10" t="s">
        <v>13</v>
      </c>
      <c r="D12" s="10"/>
      <c r="E12" s="10" t="str">
        <f>IFERROR(VLOOKUP(C12,Tabla1[#All],2,FALSE),"")</f>
        <v>Pza</v>
      </c>
      <c r="F12" s="13">
        <f>IFERROR(VLOOKUP(C12,Tabla1[#All],3,FALSE),"")</f>
        <v>499.97</v>
      </c>
      <c r="G12" s="13">
        <f t="shared" ref="G12:G14" si="0">F12*B12</f>
        <v>2999.82</v>
      </c>
    </row>
    <row r="13" spans="1:8" ht="54" customHeight="1" x14ac:dyDescent="0.35">
      <c r="B13" s="28">
        <v>2</v>
      </c>
      <c r="C13" s="28" t="s">
        <v>37</v>
      </c>
      <c r="D13"/>
      <c r="E13" s="30" t="str">
        <f>IFERROR(VLOOKUP(C13,Tabla1[#All],2,FALSE),"")</f>
        <v>Pza</v>
      </c>
      <c r="F13" s="13">
        <f>IFERROR(VLOOKUP(C13,Tabla1[#All],3,FALSE),"")</f>
        <v>170</v>
      </c>
      <c r="G13" s="13">
        <f t="shared" si="0"/>
        <v>340</v>
      </c>
    </row>
    <row r="14" spans="1:8" ht="54" customHeight="1" x14ac:dyDescent="0.35">
      <c r="B14" s="10">
        <v>62.45</v>
      </c>
      <c r="C14" s="10" t="s">
        <v>14</v>
      </c>
      <c r="D14" s="10"/>
      <c r="E14" s="10" t="str">
        <f>IFERROR(VLOOKUP(C14,Tabla1[#All],2,FALSE),"")</f>
        <v>m2</v>
      </c>
      <c r="F14" s="13">
        <f>IFERROR(VLOOKUP(C14,Tabla1[#All],3,FALSE),"")</f>
        <v>0.15</v>
      </c>
      <c r="G14" s="13">
        <f t="shared" si="0"/>
        <v>9.3674999999999997</v>
      </c>
    </row>
    <row r="15" spans="1:8" x14ac:dyDescent="0.35">
      <c r="B15" s="38" t="s">
        <v>21</v>
      </c>
      <c r="C15" s="39"/>
      <c r="D15" s="39"/>
      <c r="E15" s="39"/>
      <c r="F15" s="40"/>
      <c r="G15" s="13">
        <f>SUM(G9:G14)</f>
        <v>3513.5275000000001</v>
      </c>
    </row>
    <row r="16" spans="1:8" x14ac:dyDescent="0.35">
      <c r="C16" s="21" t="s">
        <v>8</v>
      </c>
      <c r="D16" s="21"/>
    </row>
    <row r="17" spans="2:7" x14ac:dyDescent="0.35">
      <c r="B17" s="31" t="s">
        <v>38</v>
      </c>
      <c r="C17" s="31"/>
      <c r="D17" s="31"/>
      <c r="E17" s="31"/>
      <c r="F17" s="31"/>
      <c r="G17" s="31"/>
    </row>
    <row r="18" spans="2:7" x14ac:dyDescent="0.35">
      <c r="B18" s="35" t="s">
        <v>25</v>
      </c>
      <c r="C18" s="36"/>
      <c r="D18" s="36"/>
      <c r="E18" s="36"/>
      <c r="F18" s="37"/>
      <c r="G18" s="26">
        <v>60</v>
      </c>
    </row>
    <row r="19" spans="2:7" x14ac:dyDescent="0.35">
      <c r="B19" s="35" t="s">
        <v>22</v>
      </c>
      <c r="C19" s="36"/>
      <c r="D19" s="36"/>
      <c r="E19" s="36"/>
      <c r="F19" s="37"/>
      <c r="G19" s="26">
        <v>90</v>
      </c>
    </row>
    <row r="20" spans="2:7" x14ac:dyDescent="0.35">
      <c r="B20" s="35" t="s">
        <v>39</v>
      </c>
      <c r="C20" s="36"/>
      <c r="D20" s="36"/>
      <c r="E20" s="36"/>
      <c r="F20" s="37"/>
      <c r="G20" s="26">
        <v>82</v>
      </c>
    </row>
    <row r="21" spans="2:7" x14ac:dyDescent="0.35">
      <c r="B21" s="35" t="s">
        <v>23</v>
      </c>
      <c r="C21" s="36"/>
      <c r="D21" s="36"/>
      <c r="E21" s="36"/>
      <c r="F21" s="37"/>
      <c r="G21" s="26">
        <v>70</v>
      </c>
    </row>
    <row r="22" spans="2:7" x14ac:dyDescent="0.35">
      <c r="B22" s="35" t="s">
        <v>24</v>
      </c>
      <c r="C22" s="36"/>
      <c r="D22" s="36"/>
      <c r="E22" s="36"/>
      <c r="F22" s="37"/>
      <c r="G22" s="26">
        <v>55</v>
      </c>
    </row>
    <row r="23" spans="2:7" x14ac:dyDescent="0.35">
      <c r="B23" s="31" t="s">
        <v>27</v>
      </c>
      <c r="C23" s="31"/>
      <c r="D23" s="31"/>
      <c r="E23" s="31"/>
      <c r="F23" s="31"/>
      <c r="G23" s="26">
        <f>SUM(G18:G22)</f>
        <v>357</v>
      </c>
    </row>
    <row r="25" spans="2:7" x14ac:dyDescent="0.35">
      <c r="B25" s="31" t="s">
        <v>20</v>
      </c>
      <c r="C25" s="31"/>
      <c r="D25" s="31"/>
      <c r="E25" s="31"/>
      <c r="F25" s="31"/>
      <c r="G25" s="13">
        <f>G23+G15</f>
        <v>3870.5275000000001</v>
      </c>
    </row>
    <row r="26" spans="2:7" x14ac:dyDescent="0.35">
      <c r="B26" s="31" t="s">
        <v>9</v>
      </c>
      <c r="C26" s="31"/>
      <c r="D26" s="31"/>
      <c r="E26" s="31"/>
      <c r="F26" s="31"/>
      <c r="G26" s="13">
        <f>G25*0.16</f>
        <v>619.28440000000001</v>
      </c>
    </row>
    <row r="28" spans="2:7" x14ac:dyDescent="0.35">
      <c r="B28" s="31" t="s">
        <v>10</v>
      </c>
      <c r="C28" s="31"/>
      <c r="D28" s="31"/>
      <c r="E28" s="31"/>
      <c r="F28" s="31"/>
      <c r="G28" s="13">
        <f>G25+G26</f>
        <v>4489.8119000000006</v>
      </c>
    </row>
    <row r="31" spans="2:7" x14ac:dyDescent="0.35">
      <c r="B31" s="27" t="s">
        <v>36</v>
      </c>
      <c r="C31" s="10" t="s">
        <v>43</v>
      </c>
    </row>
  </sheetData>
  <mergeCells count="15">
    <mergeCell ref="B7:G7"/>
    <mergeCell ref="B3:G3"/>
    <mergeCell ref="B1:G1"/>
    <mergeCell ref="B2:G2"/>
    <mergeCell ref="B28:F28"/>
    <mergeCell ref="B26:F26"/>
    <mergeCell ref="B15:F15"/>
    <mergeCell ref="B23:F23"/>
    <mergeCell ref="B25:F25"/>
    <mergeCell ref="B18:F18"/>
    <mergeCell ref="B19:F19"/>
    <mergeCell ref="B21:F21"/>
    <mergeCell ref="B22:F22"/>
    <mergeCell ref="B17:G17"/>
    <mergeCell ref="B20:F20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9386EEC-23EE-414C-A513-D92FE5C95093}">
          <x14:formula1>
            <xm:f>Datos!$B$3:$B$8</xm:f>
          </x14:formula1>
          <xm:sqref>D14 C9:C14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A183D-83F6-41DA-914F-A04BD850A060}">
  <dimension ref="A1:L77"/>
  <sheetViews>
    <sheetView topLeftCell="A21" workbookViewId="0">
      <selection activeCell="A67" sqref="A67:G77"/>
    </sheetView>
  </sheetViews>
  <sheetFormatPr baseColWidth="10" defaultRowHeight="14.5" x14ac:dyDescent="0.35"/>
  <cols>
    <col min="12" max="12" width="14.81640625" customWidth="1"/>
  </cols>
  <sheetData>
    <row r="1" spans="1:12" x14ac:dyDescent="0.35">
      <c r="A1" s="44" t="s">
        <v>28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</row>
    <row r="2" spans="1:12" ht="15.5" customHeight="1" x14ac:dyDescent="0.35">
      <c r="A2" s="45" t="s">
        <v>29</v>
      </c>
      <c r="B2" s="45"/>
      <c r="C2" s="45"/>
      <c r="D2" s="45"/>
      <c r="E2" s="45"/>
      <c r="F2" s="45"/>
      <c r="G2" s="45"/>
      <c r="H2" s="42" t="s">
        <v>30</v>
      </c>
      <c r="I2" s="42"/>
      <c r="J2" s="42"/>
      <c r="K2" s="42"/>
      <c r="L2" s="42"/>
    </row>
    <row r="3" spans="1:12" x14ac:dyDescent="0.35">
      <c r="A3" s="45"/>
      <c r="B3" s="45"/>
      <c r="C3" s="45"/>
      <c r="D3" s="45"/>
      <c r="E3" s="45"/>
      <c r="F3" s="45"/>
      <c r="G3" s="45"/>
      <c r="H3" s="42"/>
      <c r="I3" s="42"/>
      <c r="J3" s="42"/>
      <c r="K3" s="42"/>
      <c r="L3" s="42"/>
    </row>
    <row r="4" spans="1:12" x14ac:dyDescent="0.35">
      <c r="A4" s="45"/>
      <c r="B4" s="45"/>
      <c r="C4" s="45"/>
      <c r="D4" s="45"/>
      <c r="E4" s="45"/>
      <c r="F4" s="45"/>
      <c r="G4" s="45"/>
      <c r="H4" s="42"/>
      <c r="I4" s="42"/>
      <c r="J4" s="42"/>
      <c r="K4" s="42"/>
      <c r="L4" s="42"/>
    </row>
    <row r="5" spans="1:12" x14ac:dyDescent="0.35">
      <c r="A5" s="45"/>
      <c r="B5" s="45"/>
      <c r="C5" s="45"/>
      <c r="D5" s="45"/>
      <c r="E5" s="45"/>
      <c r="F5" s="45"/>
      <c r="G5" s="45"/>
      <c r="H5" s="42"/>
      <c r="I5" s="42"/>
      <c r="J5" s="42"/>
      <c r="K5" s="42"/>
      <c r="L5" s="42"/>
    </row>
    <row r="6" spans="1:12" x14ac:dyDescent="0.35">
      <c r="A6" s="45"/>
      <c r="B6" s="45"/>
      <c r="C6" s="45"/>
      <c r="D6" s="45"/>
      <c r="E6" s="45"/>
      <c r="F6" s="45"/>
      <c r="G6" s="45"/>
      <c r="H6" s="42"/>
      <c r="I6" s="42"/>
      <c r="J6" s="42"/>
      <c r="K6" s="42"/>
      <c r="L6" s="42"/>
    </row>
    <row r="7" spans="1:12" x14ac:dyDescent="0.35">
      <c r="A7" s="45"/>
      <c r="B7" s="45"/>
      <c r="C7" s="45"/>
      <c r="D7" s="45"/>
      <c r="E7" s="45"/>
      <c r="F7" s="45"/>
      <c r="G7" s="45"/>
      <c r="H7" s="42"/>
      <c r="I7" s="42"/>
      <c r="J7" s="42"/>
      <c r="K7" s="42"/>
      <c r="L7" s="42"/>
    </row>
    <row r="8" spans="1:12" x14ac:dyDescent="0.35">
      <c r="A8" s="45"/>
      <c r="B8" s="45"/>
      <c r="C8" s="45"/>
      <c r="D8" s="45"/>
      <c r="E8" s="45"/>
      <c r="F8" s="45"/>
      <c r="G8" s="45"/>
      <c r="H8" s="42"/>
      <c r="I8" s="42"/>
      <c r="J8" s="42"/>
      <c r="K8" s="42"/>
      <c r="L8" s="42"/>
    </row>
    <row r="9" spans="1:12" x14ac:dyDescent="0.35">
      <c r="A9" s="45"/>
      <c r="B9" s="45"/>
      <c r="C9" s="45"/>
      <c r="D9" s="45"/>
      <c r="E9" s="45"/>
      <c r="F9" s="45"/>
      <c r="G9" s="45"/>
      <c r="H9" s="42"/>
      <c r="I9" s="42"/>
      <c r="J9" s="42"/>
      <c r="K9" s="42"/>
      <c r="L9" s="42"/>
    </row>
    <row r="10" spans="1:12" x14ac:dyDescent="0.35">
      <c r="A10" s="45"/>
      <c r="B10" s="45"/>
      <c r="C10" s="45"/>
      <c r="D10" s="45"/>
      <c r="E10" s="45"/>
      <c r="F10" s="45"/>
      <c r="G10" s="45"/>
      <c r="H10" s="42"/>
      <c r="I10" s="42"/>
      <c r="J10" s="42"/>
      <c r="K10" s="42"/>
      <c r="L10" s="42"/>
    </row>
    <row r="11" spans="1:12" x14ac:dyDescent="0.35">
      <c r="A11" s="45"/>
      <c r="B11" s="45"/>
      <c r="C11" s="45"/>
      <c r="D11" s="45"/>
      <c r="E11" s="45"/>
      <c r="F11" s="45"/>
      <c r="G11" s="45"/>
      <c r="H11" s="42"/>
      <c r="I11" s="42"/>
      <c r="J11" s="42"/>
      <c r="K11" s="42"/>
      <c r="L11" s="42"/>
    </row>
    <row r="12" spans="1:12" x14ac:dyDescent="0.35">
      <c r="A12" s="41" t="s">
        <v>12</v>
      </c>
      <c r="B12" s="41"/>
      <c r="C12" s="41"/>
      <c r="D12" s="41"/>
      <c r="E12" s="41"/>
      <c r="F12" s="41"/>
      <c r="G12" s="41"/>
      <c r="H12" s="42" t="s">
        <v>31</v>
      </c>
      <c r="I12" s="43"/>
      <c r="J12" s="43"/>
      <c r="K12" s="43"/>
      <c r="L12" s="43"/>
    </row>
    <row r="13" spans="1:12" x14ac:dyDescent="0.35">
      <c r="A13" s="41"/>
      <c r="B13" s="41"/>
      <c r="C13" s="41"/>
      <c r="D13" s="41"/>
      <c r="E13" s="41"/>
      <c r="F13" s="41"/>
      <c r="G13" s="41"/>
      <c r="H13" s="43"/>
      <c r="I13" s="43"/>
      <c r="J13" s="43"/>
      <c r="K13" s="43"/>
      <c r="L13" s="43"/>
    </row>
    <row r="14" spans="1:12" x14ac:dyDescent="0.35">
      <c r="A14" s="41"/>
      <c r="B14" s="41"/>
      <c r="C14" s="41"/>
      <c r="D14" s="41"/>
      <c r="E14" s="41"/>
      <c r="F14" s="41"/>
      <c r="G14" s="41"/>
      <c r="H14" s="43"/>
      <c r="I14" s="43"/>
      <c r="J14" s="43"/>
      <c r="K14" s="43"/>
      <c r="L14" s="43"/>
    </row>
    <row r="15" spans="1:12" x14ac:dyDescent="0.35">
      <c r="A15" s="41"/>
      <c r="B15" s="41"/>
      <c r="C15" s="41"/>
      <c r="D15" s="41"/>
      <c r="E15" s="41"/>
      <c r="F15" s="41"/>
      <c r="G15" s="41"/>
      <c r="H15" s="43"/>
      <c r="I15" s="43"/>
      <c r="J15" s="43"/>
      <c r="K15" s="43"/>
      <c r="L15" s="43"/>
    </row>
    <row r="16" spans="1:12" x14ac:dyDescent="0.35">
      <c r="A16" s="41"/>
      <c r="B16" s="41"/>
      <c r="C16" s="41"/>
      <c r="D16" s="41"/>
      <c r="E16" s="41"/>
      <c r="F16" s="41"/>
      <c r="G16" s="41"/>
      <c r="H16" s="43"/>
      <c r="I16" s="43"/>
      <c r="J16" s="43"/>
      <c r="K16" s="43"/>
      <c r="L16" s="43"/>
    </row>
    <row r="17" spans="1:12" x14ac:dyDescent="0.35">
      <c r="A17" s="41"/>
      <c r="B17" s="41"/>
      <c r="C17" s="41"/>
      <c r="D17" s="41"/>
      <c r="E17" s="41"/>
      <c r="F17" s="41"/>
      <c r="G17" s="41"/>
      <c r="H17" s="43"/>
      <c r="I17" s="43"/>
      <c r="J17" s="43"/>
      <c r="K17" s="43"/>
      <c r="L17" s="43"/>
    </row>
    <row r="18" spans="1:12" x14ac:dyDescent="0.35">
      <c r="A18" s="41"/>
      <c r="B18" s="41"/>
      <c r="C18" s="41"/>
      <c r="D18" s="41"/>
      <c r="E18" s="41"/>
      <c r="F18" s="41"/>
      <c r="G18" s="41"/>
      <c r="H18" s="43"/>
      <c r="I18" s="43"/>
      <c r="J18" s="43"/>
      <c r="K18" s="43"/>
      <c r="L18" s="43"/>
    </row>
    <row r="19" spans="1:12" x14ac:dyDescent="0.35">
      <c r="A19" s="41"/>
      <c r="B19" s="41"/>
      <c r="C19" s="41"/>
      <c r="D19" s="41"/>
      <c r="E19" s="41"/>
      <c r="F19" s="41"/>
      <c r="G19" s="41"/>
      <c r="H19" s="43"/>
      <c r="I19" s="43"/>
      <c r="J19" s="43"/>
      <c r="K19" s="43"/>
      <c r="L19" s="43"/>
    </row>
    <row r="20" spans="1:12" x14ac:dyDescent="0.35">
      <c r="A20" s="41"/>
      <c r="B20" s="41"/>
      <c r="C20" s="41"/>
      <c r="D20" s="41"/>
      <c r="E20" s="41"/>
      <c r="F20" s="41"/>
      <c r="G20" s="41"/>
      <c r="H20" s="43"/>
      <c r="I20" s="43"/>
      <c r="J20" s="43"/>
      <c r="K20" s="43"/>
      <c r="L20" s="43"/>
    </row>
    <row r="21" spans="1:12" x14ac:dyDescent="0.35">
      <c r="A21" s="41"/>
      <c r="B21" s="41"/>
      <c r="C21" s="41"/>
      <c r="D21" s="41"/>
      <c r="E21" s="41"/>
      <c r="F21" s="41"/>
      <c r="G21" s="41"/>
      <c r="H21" s="43"/>
      <c r="I21" s="43"/>
      <c r="J21" s="43"/>
      <c r="K21" s="43"/>
      <c r="L21" s="43"/>
    </row>
    <row r="22" spans="1:12" x14ac:dyDescent="0.35">
      <c r="A22" s="41"/>
      <c r="B22" s="41"/>
      <c r="C22" s="41"/>
      <c r="D22" s="41"/>
      <c r="E22" s="41"/>
      <c r="F22" s="41"/>
      <c r="G22" s="41"/>
      <c r="H22" s="43"/>
      <c r="I22" s="43"/>
      <c r="J22" s="43"/>
      <c r="K22" s="43"/>
      <c r="L22" s="43"/>
    </row>
    <row r="23" spans="1:12" x14ac:dyDescent="0.35">
      <c r="A23" s="41" t="s">
        <v>17</v>
      </c>
      <c r="B23" s="41"/>
      <c r="C23" s="41"/>
      <c r="D23" s="41"/>
      <c r="E23" s="41"/>
      <c r="F23" s="41"/>
      <c r="G23" s="41"/>
      <c r="H23" s="43" t="s">
        <v>32</v>
      </c>
      <c r="I23" s="43"/>
      <c r="J23" s="43"/>
      <c r="K23" s="43"/>
      <c r="L23" s="43"/>
    </row>
    <row r="24" spans="1:12" x14ac:dyDescent="0.35">
      <c r="A24" s="41"/>
      <c r="B24" s="41"/>
      <c r="C24" s="41"/>
      <c r="D24" s="41"/>
      <c r="E24" s="41"/>
      <c r="F24" s="41"/>
      <c r="G24" s="41"/>
      <c r="H24" s="43"/>
      <c r="I24" s="43"/>
      <c r="J24" s="43"/>
      <c r="K24" s="43"/>
      <c r="L24" s="43"/>
    </row>
    <row r="25" spans="1:12" x14ac:dyDescent="0.35">
      <c r="A25" s="41"/>
      <c r="B25" s="41"/>
      <c r="C25" s="41"/>
      <c r="D25" s="41"/>
      <c r="E25" s="41"/>
      <c r="F25" s="41"/>
      <c r="G25" s="41"/>
      <c r="H25" s="43"/>
      <c r="I25" s="43"/>
      <c r="J25" s="43"/>
      <c r="K25" s="43"/>
      <c r="L25" s="43"/>
    </row>
    <row r="26" spans="1:12" x14ac:dyDescent="0.35">
      <c r="A26" s="41"/>
      <c r="B26" s="41"/>
      <c r="C26" s="41"/>
      <c r="D26" s="41"/>
      <c r="E26" s="41"/>
      <c r="F26" s="41"/>
      <c r="G26" s="41"/>
      <c r="H26" s="43"/>
      <c r="I26" s="43"/>
      <c r="J26" s="43"/>
      <c r="K26" s="43"/>
      <c r="L26" s="43"/>
    </row>
    <row r="27" spans="1:12" x14ac:dyDescent="0.35">
      <c r="A27" s="41"/>
      <c r="B27" s="41"/>
      <c r="C27" s="41"/>
      <c r="D27" s="41"/>
      <c r="E27" s="41"/>
      <c r="F27" s="41"/>
      <c r="G27" s="41"/>
      <c r="H27" s="43"/>
      <c r="I27" s="43"/>
      <c r="J27" s="43"/>
      <c r="K27" s="43"/>
      <c r="L27" s="43"/>
    </row>
    <row r="28" spans="1:12" x14ac:dyDescent="0.35">
      <c r="A28" s="41"/>
      <c r="B28" s="41"/>
      <c r="C28" s="41"/>
      <c r="D28" s="41"/>
      <c r="E28" s="41"/>
      <c r="F28" s="41"/>
      <c r="G28" s="41"/>
      <c r="H28" s="43"/>
      <c r="I28" s="43"/>
      <c r="J28" s="43"/>
      <c r="K28" s="43"/>
      <c r="L28" s="43"/>
    </row>
    <row r="29" spans="1:12" x14ac:dyDescent="0.35">
      <c r="A29" s="41"/>
      <c r="B29" s="41"/>
      <c r="C29" s="41"/>
      <c r="D29" s="41"/>
      <c r="E29" s="41"/>
      <c r="F29" s="41"/>
      <c r="G29" s="41"/>
      <c r="H29" s="43"/>
      <c r="I29" s="43"/>
      <c r="J29" s="43"/>
      <c r="K29" s="43"/>
      <c r="L29" s="43"/>
    </row>
    <row r="30" spans="1:12" x14ac:dyDescent="0.35">
      <c r="A30" s="41"/>
      <c r="B30" s="41"/>
      <c r="C30" s="41"/>
      <c r="D30" s="41"/>
      <c r="E30" s="41"/>
      <c r="F30" s="41"/>
      <c r="G30" s="41"/>
      <c r="H30" s="43"/>
      <c r="I30" s="43"/>
      <c r="J30" s="43"/>
      <c r="K30" s="43"/>
      <c r="L30" s="43"/>
    </row>
    <row r="31" spans="1:12" x14ac:dyDescent="0.35">
      <c r="A31" s="41"/>
      <c r="B31" s="41"/>
      <c r="C31" s="41"/>
      <c r="D31" s="41"/>
      <c r="E31" s="41"/>
      <c r="F31" s="41"/>
      <c r="G31" s="41"/>
      <c r="H31" s="43"/>
      <c r="I31" s="43"/>
      <c r="J31" s="43"/>
      <c r="K31" s="43"/>
      <c r="L31" s="43"/>
    </row>
    <row r="32" spans="1:12" x14ac:dyDescent="0.35">
      <c r="A32" s="41"/>
      <c r="B32" s="41"/>
      <c r="C32" s="41"/>
      <c r="D32" s="41"/>
      <c r="E32" s="41"/>
      <c r="F32" s="41"/>
      <c r="G32" s="41"/>
      <c r="H32" s="43"/>
      <c r="I32" s="43"/>
      <c r="J32" s="43"/>
      <c r="K32" s="43"/>
      <c r="L32" s="43"/>
    </row>
    <row r="33" spans="1:12" x14ac:dyDescent="0.35">
      <c r="A33" s="41"/>
      <c r="B33" s="41"/>
      <c r="C33" s="41"/>
      <c r="D33" s="41"/>
      <c r="E33" s="41"/>
      <c r="F33" s="41"/>
      <c r="G33" s="41"/>
      <c r="H33" s="43"/>
      <c r="I33" s="43"/>
      <c r="J33" s="43"/>
      <c r="K33" s="43"/>
      <c r="L33" s="43"/>
    </row>
    <row r="34" spans="1:12" x14ac:dyDescent="0.35">
      <c r="A34" s="41" t="s">
        <v>13</v>
      </c>
      <c r="B34" s="41"/>
      <c r="C34" s="41"/>
      <c r="D34" s="41"/>
      <c r="E34" s="41"/>
      <c r="F34" s="41"/>
      <c r="G34" s="41"/>
      <c r="H34" s="42" t="s">
        <v>34</v>
      </c>
      <c r="I34" s="43"/>
      <c r="J34" s="43"/>
      <c r="K34" s="43"/>
      <c r="L34" s="43"/>
    </row>
    <row r="35" spans="1:12" x14ac:dyDescent="0.35">
      <c r="A35" s="41"/>
      <c r="B35" s="41"/>
      <c r="C35" s="41"/>
      <c r="D35" s="41"/>
      <c r="E35" s="41"/>
      <c r="F35" s="41"/>
      <c r="G35" s="41"/>
      <c r="H35" s="43"/>
      <c r="I35" s="43"/>
      <c r="J35" s="43"/>
      <c r="K35" s="43"/>
      <c r="L35" s="43"/>
    </row>
    <row r="36" spans="1:12" x14ac:dyDescent="0.35">
      <c r="A36" s="41"/>
      <c r="B36" s="41"/>
      <c r="C36" s="41"/>
      <c r="D36" s="41"/>
      <c r="E36" s="41"/>
      <c r="F36" s="41"/>
      <c r="G36" s="41"/>
      <c r="H36" s="43"/>
      <c r="I36" s="43"/>
      <c r="J36" s="43"/>
      <c r="K36" s="43"/>
      <c r="L36" s="43"/>
    </row>
    <row r="37" spans="1:12" x14ac:dyDescent="0.35">
      <c r="A37" s="41"/>
      <c r="B37" s="41"/>
      <c r="C37" s="41"/>
      <c r="D37" s="41"/>
      <c r="E37" s="41"/>
      <c r="F37" s="41"/>
      <c r="G37" s="41"/>
      <c r="H37" s="43"/>
      <c r="I37" s="43"/>
      <c r="J37" s="43"/>
      <c r="K37" s="43"/>
      <c r="L37" s="43"/>
    </row>
    <row r="38" spans="1:12" x14ac:dyDescent="0.35">
      <c r="A38" s="41"/>
      <c r="B38" s="41"/>
      <c r="C38" s="41"/>
      <c r="D38" s="41"/>
      <c r="E38" s="41"/>
      <c r="F38" s="41"/>
      <c r="G38" s="41"/>
      <c r="H38" s="43"/>
      <c r="I38" s="43"/>
      <c r="J38" s="43"/>
      <c r="K38" s="43"/>
      <c r="L38" s="43"/>
    </row>
    <row r="39" spans="1:12" x14ac:dyDescent="0.35">
      <c r="A39" s="41"/>
      <c r="B39" s="41"/>
      <c r="C39" s="41"/>
      <c r="D39" s="41"/>
      <c r="E39" s="41"/>
      <c r="F39" s="41"/>
      <c r="G39" s="41"/>
      <c r="H39" s="43"/>
      <c r="I39" s="43"/>
      <c r="J39" s="43"/>
      <c r="K39" s="43"/>
      <c r="L39" s="43"/>
    </row>
    <row r="40" spans="1:12" x14ac:dyDescent="0.35">
      <c r="A40" s="41"/>
      <c r="B40" s="41"/>
      <c r="C40" s="41"/>
      <c r="D40" s="41"/>
      <c r="E40" s="41"/>
      <c r="F40" s="41"/>
      <c r="G40" s="41"/>
      <c r="H40" s="43"/>
      <c r="I40" s="43"/>
      <c r="J40" s="43"/>
      <c r="K40" s="43"/>
      <c r="L40" s="43"/>
    </row>
    <row r="41" spans="1:12" x14ac:dyDescent="0.35">
      <c r="A41" s="41"/>
      <c r="B41" s="41"/>
      <c r="C41" s="41"/>
      <c r="D41" s="41"/>
      <c r="E41" s="41"/>
      <c r="F41" s="41"/>
      <c r="G41" s="41"/>
      <c r="H41" s="43"/>
      <c r="I41" s="43"/>
      <c r="J41" s="43"/>
      <c r="K41" s="43"/>
      <c r="L41" s="43"/>
    </row>
    <row r="42" spans="1:12" x14ac:dyDescent="0.35">
      <c r="A42" s="41"/>
      <c r="B42" s="41"/>
      <c r="C42" s="41"/>
      <c r="D42" s="41"/>
      <c r="E42" s="41"/>
      <c r="F42" s="41"/>
      <c r="G42" s="41"/>
      <c r="H42" s="43"/>
      <c r="I42" s="43"/>
      <c r="J42" s="43"/>
      <c r="K42" s="43"/>
      <c r="L42" s="43"/>
    </row>
    <row r="43" spans="1:12" x14ac:dyDescent="0.35">
      <c r="A43" s="41"/>
      <c r="B43" s="41"/>
      <c r="C43" s="41"/>
      <c r="D43" s="41"/>
      <c r="E43" s="41"/>
      <c r="F43" s="41"/>
      <c r="G43" s="41"/>
      <c r="H43" s="43"/>
      <c r="I43" s="43"/>
      <c r="J43" s="43"/>
      <c r="K43" s="43"/>
      <c r="L43" s="43"/>
    </row>
    <row r="44" spans="1:12" x14ac:dyDescent="0.35">
      <c r="A44" s="41"/>
      <c r="B44" s="41"/>
      <c r="C44" s="41"/>
      <c r="D44" s="41"/>
      <c r="E44" s="41"/>
      <c r="F44" s="41"/>
      <c r="G44" s="41"/>
      <c r="H44" s="43"/>
      <c r="I44" s="43"/>
      <c r="J44" s="43"/>
      <c r="K44" s="43"/>
      <c r="L44" s="43"/>
    </row>
    <row r="45" spans="1:12" x14ac:dyDescent="0.35">
      <c r="A45" s="41" t="s">
        <v>33</v>
      </c>
      <c r="B45" s="41"/>
      <c r="C45" s="41"/>
      <c r="D45" s="41"/>
      <c r="E45" s="41"/>
      <c r="F45" s="41"/>
      <c r="G45" s="41"/>
      <c r="H45" s="42" t="s">
        <v>35</v>
      </c>
      <c r="I45" s="43"/>
      <c r="J45" s="43"/>
      <c r="K45" s="43"/>
      <c r="L45" s="43"/>
    </row>
    <row r="46" spans="1:12" x14ac:dyDescent="0.35">
      <c r="A46" s="41"/>
      <c r="B46" s="41"/>
      <c r="C46" s="41"/>
      <c r="D46" s="41"/>
      <c r="E46" s="41"/>
      <c r="F46" s="41"/>
      <c r="G46" s="41"/>
      <c r="H46" s="43"/>
      <c r="I46" s="43"/>
      <c r="J46" s="43"/>
      <c r="K46" s="43"/>
      <c r="L46" s="43"/>
    </row>
    <row r="47" spans="1:12" x14ac:dyDescent="0.35">
      <c r="A47" s="41"/>
      <c r="B47" s="41"/>
      <c r="C47" s="41"/>
      <c r="D47" s="41"/>
      <c r="E47" s="41"/>
      <c r="F47" s="41"/>
      <c r="G47" s="41"/>
      <c r="H47" s="43"/>
      <c r="I47" s="43"/>
      <c r="J47" s="43"/>
      <c r="K47" s="43"/>
      <c r="L47" s="43"/>
    </row>
    <row r="48" spans="1:12" x14ac:dyDescent="0.35">
      <c r="A48" s="41"/>
      <c r="B48" s="41"/>
      <c r="C48" s="41"/>
      <c r="D48" s="41"/>
      <c r="E48" s="41"/>
      <c r="F48" s="41"/>
      <c r="G48" s="41"/>
      <c r="H48" s="43"/>
      <c r="I48" s="43"/>
      <c r="J48" s="43"/>
      <c r="K48" s="43"/>
      <c r="L48" s="43"/>
    </row>
    <row r="49" spans="1:12" x14ac:dyDescent="0.35">
      <c r="A49" s="41"/>
      <c r="B49" s="41"/>
      <c r="C49" s="41"/>
      <c r="D49" s="41"/>
      <c r="E49" s="41"/>
      <c r="F49" s="41"/>
      <c r="G49" s="41"/>
      <c r="H49" s="43"/>
      <c r="I49" s="43"/>
      <c r="J49" s="43"/>
      <c r="K49" s="43"/>
      <c r="L49" s="43"/>
    </row>
    <row r="50" spans="1:12" x14ac:dyDescent="0.35">
      <c r="A50" s="41"/>
      <c r="B50" s="41"/>
      <c r="C50" s="41"/>
      <c r="D50" s="41"/>
      <c r="E50" s="41"/>
      <c r="F50" s="41"/>
      <c r="G50" s="41"/>
      <c r="H50" s="43"/>
      <c r="I50" s="43"/>
      <c r="J50" s="43"/>
      <c r="K50" s="43"/>
      <c r="L50" s="43"/>
    </row>
    <row r="51" spans="1:12" x14ac:dyDescent="0.35">
      <c r="A51" s="41"/>
      <c r="B51" s="41"/>
      <c r="C51" s="41"/>
      <c r="D51" s="41"/>
      <c r="E51" s="41"/>
      <c r="F51" s="41"/>
      <c r="G51" s="41"/>
      <c r="H51" s="43"/>
      <c r="I51" s="43"/>
      <c r="J51" s="43"/>
      <c r="K51" s="43"/>
      <c r="L51" s="43"/>
    </row>
    <row r="52" spans="1:12" x14ac:dyDescent="0.35">
      <c r="A52" s="41"/>
      <c r="B52" s="41"/>
      <c r="C52" s="41"/>
      <c r="D52" s="41"/>
      <c r="E52" s="41"/>
      <c r="F52" s="41"/>
      <c r="G52" s="41"/>
      <c r="H52" s="43"/>
      <c r="I52" s="43"/>
      <c r="J52" s="43"/>
      <c r="K52" s="43"/>
      <c r="L52" s="43"/>
    </row>
    <row r="53" spans="1:12" x14ac:dyDescent="0.35">
      <c r="A53" s="41"/>
      <c r="B53" s="41"/>
      <c r="C53" s="41"/>
      <c r="D53" s="41"/>
      <c r="E53" s="41"/>
      <c r="F53" s="41"/>
      <c r="G53" s="41"/>
      <c r="H53" s="43"/>
      <c r="I53" s="43"/>
      <c r="J53" s="43"/>
      <c r="K53" s="43"/>
      <c r="L53" s="43"/>
    </row>
    <row r="54" spans="1:12" x14ac:dyDescent="0.35">
      <c r="A54" s="41"/>
      <c r="B54" s="41"/>
      <c r="C54" s="41"/>
      <c r="D54" s="41"/>
      <c r="E54" s="41"/>
      <c r="F54" s="41"/>
      <c r="G54" s="41"/>
      <c r="H54" s="43"/>
      <c r="I54" s="43"/>
      <c r="J54" s="43"/>
      <c r="K54" s="43"/>
      <c r="L54" s="43"/>
    </row>
    <row r="55" spans="1:12" x14ac:dyDescent="0.35">
      <c r="A55" s="41"/>
      <c r="B55" s="41"/>
      <c r="C55" s="41"/>
      <c r="D55" s="41"/>
      <c r="E55" s="41"/>
      <c r="F55" s="41"/>
      <c r="G55" s="41"/>
      <c r="H55" s="43"/>
      <c r="I55" s="43"/>
      <c r="J55" s="43"/>
      <c r="K55" s="43"/>
      <c r="L55" s="43"/>
    </row>
    <row r="56" spans="1:12" x14ac:dyDescent="0.35">
      <c r="A56" s="41" t="s">
        <v>37</v>
      </c>
      <c r="B56" s="41"/>
      <c r="C56" s="41"/>
      <c r="D56" s="41"/>
      <c r="E56" s="41"/>
      <c r="F56" s="41"/>
      <c r="G56" s="41"/>
      <c r="H56" s="42" t="s">
        <v>40</v>
      </c>
      <c r="I56" s="43"/>
      <c r="J56" s="43"/>
      <c r="K56" s="43"/>
      <c r="L56" s="43"/>
    </row>
    <row r="57" spans="1:12" x14ac:dyDescent="0.35">
      <c r="A57" s="41"/>
      <c r="B57" s="41"/>
      <c r="C57" s="41"/>
      <c r="D57" s="41"/>
      <c r="E57" s="41"/>
      <c r="F57" s="41"/>
      <c r="G57" s="41"/>
      <c r="H57" s="43"/>
      <c r="I57" s="43"/>
      <c r="J57" s="43"/>
      <c r="K57" s="43"/>
      <c r="L57" s="43"/>
    </row>
    <row r="58" spans="1:12" x14ac:dyDescent="0.35">
      <c r="A58" s="41"/>
      <c r="B58" s="41"/>
      <c r="C58" s="41"/>
      <c r="D58" s="41"/>
      <c r="E58" s="41"/>
      <c r="F58" s="41"/>
      <c r="G58" s="41"/>
      <c r="H58" s="43"/>
      <c r="I58" s="43"/>
      <c r="J58" s="43"/>
      <c r="K58" s="43"/>
      <c r="L58" s="43"/>
    </row>
    <row r="59" spans="1:12" x14ac:dyDescent="0.35">
      <c r="A59" s="41"/>
      <c r="B59" s="41"/>
      <c r="C59" s="41"/>
      <c r="D59" s="41"/>
      <c r="E59" s="41"/>
      <c r="F59" s="41"/>
      <c r="G59" s="41"/>
      <c r="H59" s="43"/>
      <c r="I59" s="43"/>
      <c r="J59" s="43"/>
      <c r="K59" s="43"/>
      <c r="L59" s="43"/>
    </row>
    <row r="60" spans="1:12" x14ac:dyDescent="0.35">
      <c r="A60" s="41"/>
      <c r="B60" s="41"/>
      <c r="C60" s="41"/>
      <c r="D60" s="41"/>
      <c r="E60" s="41"/>
      <c r="F60" s="41"/>
      <c r="G60" s="41"/>
      <c r="H60" s="43"/>
      <c r="I60" s="43"/>
      <c r="J60" s="43"/>
      <c r="K60" s="43"/>
      <c r="L60" s="43"/>
    </row>
    <row r="61" spans="1:12" x14ac:dyDescent="0.35">
      <c r="A61" s="41"/>
      <c r="B61" s="41"/>
      <c r="C61" s="41"/>
      <c r="D61" s="41"/>
      <c r="E61" s="41"/>
      <c r="F61" s="41"/>
      <c r="G61" s="41"/>
      <c r="H61" s="43"/>
      <c r="I61" s="43"/>
      <c r="J61" s="43"/>
      <c r="K61" s="43"/>
      <c r="L61" s="43"/>
    </row>
    <row r="62" spans="1:12" x14ac:dyDescent="0.35">
      <c r="A62" s="41"/>
      <c r="B62" s="41"/>
      <c r="C62" s="41"/>
      <c r="D62" s="41"/>
      <c r="E62" s="41"/>
      <c r="F62" s="41"/>
      <c r="G62" s="41"/>
      <c r="H62" s="43"/>
      <c r="I62" s="43"/>
      <c r="J62" s="43"/>
      <c r="K62" s="43"/>
      <c r="L62" s="43"/>
    </row>
    <row r="63" spans="1:12" x14ac:dyDescent="0.35">
      <c r="A63" s="41"/>
      <c r="B63" s="41"/>
      <c r="C63" s="41"/>
      <c r="D63" s="41"/>
      <c r="E63" s="41"/>
      <c r="F63" s="41"/>
      <c r="G63" s="41"/>
      <c r="H63" s="43"/>
      <c r="I63" s="43"/>
      <c r="J63" s="43"/>
      <c r="K63" s="43"/>
      <c r="L63" s="43"/>
    </row>
    <row r="64" spans="1:12" x14ac:dyDescent="0.35">
      <c r="A64" s="41"/>
      <c r="B64" s="41"/>
      <c r="C64" s="41"/>
      <c r="D64" s="41"/>
      <c r="E64" s="41"/>
      <c r="F64" s="41"/>
      <c r="G64" s="41"/>
      <c r="H64" s="43"/>
      <c r="I64" s="43"/>
      <c r="J64" s="43"/>
      <c r="K64" s="43"/>
      <c r="L64" s="43"/>
    </row>
    <row r="65" spans="1:12" x14ac:dyDescent="0.35">
      <c r="A65" s="41"/>
      <c r="B65" s="41"/>
      <c r="C65" s="41"/>
      <c r="D65" s="41"/>
      <c r="E65" s="41"/>
      <c r="F65" s="41"/>
      <c r="G65" s="41"/>
      <c r="H65" s="43"/>
      <c r="I65" s="43"/>
      <c r="J65" s="43"/>
      <c r="K65" s="43"/>
      <c r="L65" s="43"/>
    </row>
    <row r="66" spans="1:12" x14ac:dyDescent="0.35">
      <c r="A66" s="41"/>
      <c r="B66" s="41"/>
      <c r="C66" s="41"/>
      <c r="D66" s="41"/>
      <c r="E66" s="41"/>
      <c r="F66" s="41"/>
      <c r="G66" s="41"/>
      <c r="H66" s="43"/>
      <c r="I66" s="43"/>
      <c r="J66" s="43"/>
      <c r="K66" s="43"/>
      <c r="L66" s="43"/>
    </row>
    <row r="67" spans="1:12" x14ac:dyDescent="0.35">
      <c r="A67" s="41" t="s">
        <v>39</v>
      </c>
      <c r="B67" s="41"/>
      <c r="C67" s="41"/>
      <c r="D67" s="41"/>
      <c r="E67" s="41"/>
      <c r="F67" s="41"/>
      <c r="G67" s="41"/>
      <c r="H67" s="42" t="s">
        <v>41</v>
      </c>
      <c r="I67" s="43"/>
      <c r="J67" s="43"/>
      <c r="K67" s="43"/>
      <c r="L67" s="43"/>
    </row>
    <row r="68" spans="1:12" x14ac:dyDescent="0.35">
      <c r="A68" s="41"/>
      <c r="B68" s="41"/>
      <c r="C68" s="41"/>
      <c r="D68" s="41"/>
      <c r="E68" s="41"/>
      <c r="F68" s="41"/>
      <c r="G68" s="41"/>
      <c r="H68" s="43"/>
      <c r="I68" s="43"/>
      <c r="J68" s="43"/>
      <c r="K68" s="43"/>
      <c r="L68" s="43"/>
    </row>
    <row r="69" spans="1:12" x14ac:dyDescent="0.35">
      <c r="A69" s="41"/>
      <c r="B69" s="41"/>
      <c r="C69" s="41"/>
      <c r="D69" s="41"/>
      <c r="E69" s="41"/>
      <c r="F69" s="41"/>
      <c r="G69" s="41"/>
      <c r="H69" s="43"/>
      <c r="I69" s="43"/>
      <c r="J69" s="43"/>
      <c r="K69" s="43"/>
      <c r="L69" s="43"/>
    </row>
    <row r="70" spans="1:12" x14ac:dyDescent="0.35">
      <c r="A70" s="41"/>
      <c r="B70" s="41"/>
      <c r="C70" s="41"/>
      <c r="D70" s="41"/>
      <c r="E70" s="41"/>
      <c r="F70" s="41"/>
      <c r="G70" s="41"/>
      <c r="H70" s="43"/>
      <c r="I70" s="43"/>
      <c r="J70" s="43"/>
      <c r="K70" s="43"/>
      <c r="L70" s="43"/>
    </row>
    <row r="71" spans="1:12" x14ac:dyDescent="0.35">
      <c r="A71" s="41"/>
      <c r="B71" s="41"/>
      <c r="C71" s="41"/>
      <c r="D71" s="41"/>
      <c r="E71" s="41"/>
      <c r="F71" s="41"/>
      <c r="G71" s="41"/>
      <c r="H71" s="43"/>
      <c r="I71" s="43"/>
      <c r="J71" s="43"/>
      <c r="K71" s="43"/>
      <c r="L71" s="43"/>
    </row>
    <row r="72" spans="1:12" x14ac:dyDescent="0.35">
      <c r="A72" s="41"/>
      <c r="B72" s="41"/>
      <c r="C72" s="41"/>
      <c r="D72" s="41"/>
      <c r="E72" s="41"/>
      <c r="F72" s="41"/>
      <c r="G72" s="41"/>
      <c r="H72" s="43"/>
      <c r="I72" s="43"/>
      <c r="J72" s="43"/>
      <c r="K72" s="43"/>
      <c r="L72" s="43"/>
    </row>
    <row r="73" spans="1:12" x14ac:dyDescent="0.35">
      <c r="A73" s="41"/>
      <c r="B73" s="41"/>
      <c r="C73" s="41"/>
      <c r="D73" s="41"/>
      <c r="E73" s="41"/>
      <c r="F73" s="41"/>
      <c r="G73" s="41"/>
      <c r="H73" s="43"/>
      <c r="I73" s="43"/>
      <c r="J73" s="43"/>
      <c r="K73" s="43"/>
      <c r="L73" s="43"/>
    </row>
    <row r="74" spans="1:12" x14ac:dyDescent="0.35">
      <c r="A74" s="41"/>
      <c r="B74" s="41"/>
      <c r="C74" s="41"/>
      <c r="D74" s="41"/>
      <c r="E74" s="41"/>
      <c r="F74" s="41"/>
      <c r="G74" s="41"/>
      <c r="H74" s="43"/>
      <c r="I74" s="43"/>
      <c r="J74" s="43"/>
      <c r="K74" s="43"/>
      <c r="L74" s="43"/>
    </row>
    <row r="75" spans="1:12" x14ac:dyDescent="0.35">
      <c r="A75" s="41"/>
      <c r="B75" s="41"/>
      <c r="C75" s="41"/>
      <c r="D75" s="41"/>
      <c r="E75" s="41"/>
      <c r="F75" s="41"/>
      <c r="G75" s="41"/>
      <c r="H75" s="43"/>
      <c r="I75" s="43"/>
      <c r="J75" s="43"/>
      <c r="K75" s="43"/>
      <c r="L75" s="43"/>
    </row>
    <row r="76" spans="1:12" x14ac:dyDescent="0.35">
      <c r="A76" s="41"/>
      <c r="B76" s="41"/>
      <c r="C76" s="41"/>
      <c r="D76" s="41"/>
      <c r="E76" s="41"/>
      <c r="F76" s="41"/>
      <c r="G76" s="41"/>
      <c r="H76" s="43"/>
      <c r="I76" s="43"/>
      <c r="J76" s="43"/>
      <c r="K76" s="43"/>
      <c r="L76" s="43"/>
    </row>
    <row r="77" spans="1:12" x14ac:dyDescent="0.35">
      <c r="A77" s="41"/>
      <c r="B77" s="41"/>
      <c r="C77" s="41"/>
      <c r="D77" s="41"/>
      <c r="E77" s="41"/>
      <c r="F77" s="41"/>
      <c r="G77" s="41"/>
      <c r="H77" s="43"/>
      <c r="I77" s="43"/>
      <c r="J77" s="43"/>
      <c r="K77" s="43"/>
      <c r="L77" s="43"/>
    </row>
  </sheetData>
  <mergeCells count="15">
    <mergeCell ref="A56:G66"/>
    <mergeCell ref="H56:L66"/>
    <mergeCell ref="A67:G77"/>
    <mergeCell ref="H67:L77"/>
    <mergeCell ref="A1:L1"/>
    <mergeCell ref="A2:G11"/>
    <mergeCell ref="H2:L11"/>
    <mergeCell ref="A45:G55"/>
    <mergeCell ref="H45:L55"/>
    <mergeCell ref="A12:G22"/>
    <mergeCell ref="H12:L22"/>
    <mergeCell ref="A23:G33"/>
    <mergeCell ref="H23:L33"/>
    <mergeCell ref="A34:G44"/>
    <mergeCell ref="H34:L44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A8DD5-5C7A-4587-9896-2207285A0B48}">
  <sheetPr codeName="Hoja2"/>
  <dimension ref="B2:D8"/>
  <sheetViews>
    <sheetView workbookViewId="0">
      <selection activeCell="B21" sqref="B21"/>
    </sheetView>
  </sheetViews>
  <sheetFormatPr baseColWidth="10" defaultRowHeight="14.5" x14ac:dyDescent="0.35"/>
  <cols>
    <col min="2" max="2" width="35.26953125" bestFit="1" customWidth="1"/>
    <col min="4" max="4" width="15.26953125" customWidth="1"/>
  </cols>
  <sheetData>
    <row r="2" spans="2:4" x14ac:dyDescent="0.35">
      <c r="B2" s="1" t="s">
        <v>0</v>
      </c>
      <c r="C2" s="2" t="s">
        <v>1</v>
      </c>
      <c r="D2" s="3" t="s">
        <v>2</v>
      </c>
    </row>
    <row r="3" spans="2:4" x14ac:dyDescent="0.35">
      <c r="B3" s="4" t="s">
        <v>11</v>
      </c>
      <c r="C3" s="5" t="s">
        <v>7</v>
      </c>
      <c r="D3" s="8">
        <v>79.69</v>
      </c>
    </row>
    <row r="4" spans="2:4" x14ac:dyDescent="0.35">
      <c r="B4" s="4" t="s">
        <v>12</v>
      </c>
      <c r="C4" s="5" t="s">
        <v>7</v>
      </c>
      <c r="D4" s="8">
        <v>82.25</v>
      </c>
    </row>
    <row r="5" spans="2:4" x14ac:dyDescent="0.35">
      <c r="B5" s="29" t="s">
        <v>37</v>
      </c>
      <c r="C5" s="5" t="s">
        <v>7</v>
      </c>
      <c r="D5" s="8">
        <v>170</v>
      </c>
    </row>
    <row r="6" spans="2:4" x14ac:dyDescent="0.35">
      <c r="B6" s="4" t="s">
        <v>17</v>
      </c>
      <c r="C6" s="5" t="s">
        <v>7</v>
      </c>
      <c r="D6" s="8">
        <v>0.15</v>
      </c>
    </row>
    <row r="7" spans="2:4" x14ac:dyDescent="0.35">
      <c r="B7" s="4" t="s">
        <v>13</v>
      </c>
      <c r="C7" s="5" t="s">
        <v>7</v>
      </c>
      <c r="D7" s="8">
        <v>499.97</v>
      </c>
    </row>
    <row r="8" spans="2:4" x14ac:dyDescent="0.35">
      <c r="B8" s="6" t="s">
        <v>14</v>
      </c>
      <c r="C8" s="7" t="s">
        <v>3</v>
      </c>
      <c r="D8" s="9">
        <v>0.15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Presupuesto</vt:lpstr>
      <vt:lpstr>Fichas tecnicas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Elizabeth Buenrostro</dc:creator>
  <cp:lastModifiedBy>Elizabeth Buenrostro</cp:lastModifiedBy>
  <dcterms:created xsi:type="dcterms:W3CDTF">2022-11-09T00:55:06Z</dcterms:created>
  <dcterms:modified xsi:type="dcterms:W3CDTF">2022-11-28T03:21:12Z</dcterms:modified>
</cp:coreProperties>
</file>